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Tài liệu\DGNL\DGNL-2026 2\DGNL-2026\"/>
    </mc:Choice>
  </mc:AlternateContent>
  <xr:revisionPtr revIDLastSave="0" documentId="13_ncr:1_{99D0A82C-7669-42EC-B319-4589ABA7ED38}" xr6:coauthVersionLast="47" xr6:coauthVersionMax="47" xr10:uidLastSave="{00000000-0000-0000-0000-000000000000}"/>
  <bookViews>
    <workbookView xWindow="-120" yWindow="-120" windowWidth="29040" windowHeight="15720" xr2:uid="{0A323993-6B0E-4465-9440-DABB234748ED}"/>
  </bookViews>
  <sheets>
    <sheet name="Sheet1" sheetId="1" r:id="rId1"/>
  </sheets>
  <definedNames>
    <definedName name="_xlnm._FilterDatabase" localSheetId="0" hidden="1">Sheet1!$B$13:$M$63</definedName>
    <definedName name="_xlnm.Print_Area" localSheetId="0">Sheet1!$B$1:$L$63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1" l="1"/>
  <c r="G9" i="1"/>
  <c r="F9" i="1"/>
  <c r="H8" i="1"/>
  <c r="G8" i="1"/>
  <c r="F8" i="1"/>
  <c r="H7" i="1"/>
  <c r="G7" i="1"/>
  <c r="F7" i="1"/>
  <c r="H6" i="1"/>
  <c r="G6" i="1"/>
  <c r="F6" i="1"/>
  <c r="B30" i="1"/>
  <c r="B14" i="1" l="1"/>
  <c r="B15" i="1"/>
  <c r="B16" i="1"/>
  <c r="B17" i="1"/>
  <c r="B18" i="1"/>
  <c r="B19" i="1"/>
  <c r="B20" i="1"/>
  <c r="B21" i="1"/>
  <c r="B22" i="1"/>
  <c r="B23" i="1"/>
  <c r="B24" i="1"/>
  <c r="B25" i="1"/>
  <c r="B26" i="1"/>
  <c r="B27" i="1"/>
  <c r="B28" i="1"/>
  <c r="B29"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C13" i="1"/>
  <c r="D13" i="1"/>
  <c r="E13" i="1"/>
  <c r="F13" i="1"/>
  <c r="G13" i="1"/>
  <c r="H13" i="1"/>
  <c r="I13" i="1"/>
  <c r="J13" i="1"/>
  <c r="B13" i="1"/>
  <c r="E6" i="1" l="1"/>
  <c r="F5" i="1" l="1"/>
  <c r="E9" i="1"/>
  <c r="H5" i="1"/>
  <c r="G5" i="1"/>
  <c r="E8" i="1"/>
  <c r="E7" i="1"/>
  <c r="E5" i="1" l="1"/>
</calcChain>
</file>

<file path=xl/sharedStrings.xml><?xml version="1.0" encoding="utf-8"?>
<sst xmlns="http://schemas.openxmlformats.org/spreadsheetml/2006/main" count="260" uniqueCount="197">
  <si>
    <t>STT</t>
  </si>
  <si>
    <t>Mã khía cạnh</t>
  </si>
  <si>
    <t>Khía cạnh</t>
  </si>
  <si>
    <t>Cấp độ</t>
  </si>
  <si>
    <t>Đáp án đúng</t>
  </si>
  <si>
    <t>Phương án sai  1</t>
  </si>
  <si>
    <t>Phương án sai 2</t>
  </si>
  <si>
    <t>Phương án sai 3</t>
  </si>
  <si>
    <t>Câu hỏi</t>
  </si>
  <si>
    <t>Đáp án</t>
  </si>
  <si>
    <t xml:space="preserve">                        Khía cạnh
   Cấp độ                    </t>
  </si>
  <si>
    <t>TỔNG</t>
  </si>
  <si>
    <t>(1), (2), (3), (4)</t>
  </si>
  <si>
    <t>(1), (2), (3)</t>
  </si>
  <si>
    <t>(2), (3), (4)</t>
  </si>
  <si>
    <t>(1), (3), (4)</t>
  </si>
  <si>
    <t>(1), (2), (4)</t>
  </si>
  <si>
    <t>Quản trị ứng dụng: Quản lý, bảo trì, cải thiện hiệu suất, nâng cao chất lượng dịch vụ, đảm bảo sự hoạt động liên tục.</t>
  </si>
  <si>
    <t>Khi một nhân viên thực hiện "Quản lý và cập nhật các phiên bản của ứng dụng kinh doanh như Chuyên mạch IST (Fidelity Global), Server OS (IBM, Redhat, Microsoft), và Cổng thanh toán (Java + Oracle DBMS)", hành động nào KHÔNG phù hợp với trách nhiệm này?</t>
  </si>
  <si>
    <t>Tự ý thay đổi mã nguồn cốt lõi của ứng dụng Chuyên mạch IST mà không có sự phê duyệt.</t>
  </si>
  <si>
    <t>Khi quản trị ứng dụng CNTT, việc cập nhật và bảo trì phiên bản ứng dụng cần phải được thực hiện theo cách nào?</t>
  </si>
  <si>
    <t>Cập nhật ứng dụng theo định kỳ, dựa trên quy trình bảo trì đã được xác định trước.</t>
  </si>
  <si>
    <t>Cập nhật ứng dụng khi có lỗi xảy ra.</t>
  </si>
  <si>
    <t>Cập nhật khi có yêu cầu từ người dùng.</t>
  </si>
  <si>
    <t>Bảo trì khi hệ thống gặp sự cố.</t>
  </si>
  <si>
    <t>Khi vận hành ứng dụng CNTT tại Napas, việc cập nhật và bảo trì phiên bản ứng dụng cần tuân thủ nguyên tắc nào sau đây?</t>
  </si>
  <si>
    <t>Thực hiện theo quy trình quản lý thay đổi được phê duyệt</t>
  </si>
  <si>
    <t>Cập nhật khi người dùng yêu cầu</t>
  </si>
  <si>
    <t>Tự động cập nhật bất cứ lúc nào có phiên bản mới</t>
  </si>
  <si>
    <t>Thực hiện bởi bất kỳ nhân viên IT nào có quyền truy cập</t>
  </si>
  <si>
    <t>Những yếu tố nào sau đây là thành phần chính của việc quản trị hệ thống CNTT?
A. Giám sát hiệu năng ứng dụng
B. Quản lý cấu hình và phiên bản ứng dụng
C. Thiết kế giao diện người dùng (UI)
D. Quản lý sự cố và thay đổi liên quan đến ứng dụng</t>
  </si>
  <si>
    <t>A, B, D</t>
  </si>
  <si>
    <t>Quản trị ứng dụng CNTT bao gồm những yếu tố nào?</t>
  </si>
  <si>
    <t>Quản lý phiên bản, bảo trì, cải thiện hiệu suất và đảm bảo tính liên tục của dịch vụ.</t>
  </si>
  <si>
    <t>Cập nhật phần mềm và giám sát hiệu suất ứng dụng.</t>
  </si>
  <si>
    <t>Lập kế hoạch phát triển phần mềm mới mà không cần quan tâm đến phiên bản hiện tại.</t>
  </si>
  <si>
    <t>Cập nhật phần mềm, bảo mật và tránh các lỗi phần mềm.</t>
  </si>
  <si>
    <t xml:space="preserve">Quản trị ứng dụng CNTT bao gồm những yếu tố quan trọng nhất nào?
(1) Bảo mật
(2) chất lượng
(3) Quản lý cấu hình
(4)Phân tích lỗi, quản lý rủi ro, phát hiện vấn đề
</t>
  </si>
  <si>
    <t>Cả 4 yếu tố nêu ra</t>
  </si>
  <si>
    <t>Trong hoạt động quản trị ứng dụng theo quy trình, việc "Lưu trữ, cập nhật phiên bản và bảo trì các công cụ nội bộ (ví dụ: Jira, Confluence, Splunk...)" nhằm mục đích chính là gì?</t>
  </si>
  <si>
    <t>Đảm bảo các công cụ hỗ trợ vận hành và quản lý luôn ở trạng thái tốt nhất, sẵn sàng sử dụng và phù hợp với các yêu cầu hiện tại của tổ chức.</t>
  </si>
  <si>
    <t>Khi phát hiện lỗi trong hệ thống ứng dụng, bước nào là cần thiết ngay lập tức?</t>
  </si>
  <si>
    <t>Dừng ngay lập tức hệ thống và khôi phục bản sao lưu mới nhất.</t>
  </si>
  <si>
    <t>Tìm nguyên nhân lỗi, thông báo cho người dùng và khôi phục nếu cần.</t>
  </si>
  <si>
    <t>Kiểm tra hệ thống để phát hiện lỗi và không cần khôi phục.</t>
  </si>
  <si>
    <t>Ghi nhận lỗi, nhưng không cần khôi phục, chỉ kiểm tra lại sau khi lỗi tiếp tục xảy ra.</t>
  </si>
  <si>
    <t>Nếu "Theo dõi, phát hiện lỗi trong các hệ thống ứng dụng phục vụ kinh doanh và quản trị nội bộ do Công ty phát triển và mua ngoài", mục tiêu chính của việc này là gì?</t>
  </si>
  <si>
    <t>Đảm bảo các lỗi được phát hiện sớm, ghi nhận đầy đủ để có kế hoạch khắc phục kịp thời, giảm thiểu ảnh hưởng đến hoạt động.</t>
  </si>
  <si>
    <t>Quản lý công cụ hỗ trợ như Jira và Splunk có mục tiêu gì trong quá trình giám sát ứng dụng?</t>
  </si>
  <si>
    <t>Giúp theo dõi sự cố và tối ưu hóa quy trình vận hành ứng dụng.</t>
  </si>
  <si>
    <t>Chỉ ghi nhận các lỗi trong ứng dụng và không có tác dụng trực tiếp với hiệu suất.</t>
  </si>
  <si>
    <t>Không có tác dụng với việc giám sát hệ thống, chỉ dành cho phát triển phần mềm.</t>
  </si>
  <si>
    <t>Chỉ hỗ trợ cho các ứng dụng được phát triển nội bộ mà không có sự kết nối với ứng dụng bên ngoài.</t>
  </si>
  <si>
    <t>Splunk là công cụ phổ biến trong vận hành ứng dụng với mục tiêu gì?</t>
  </si>
  <si>
    <t>Thu thập, phân tích log để phát hiện sự cố và giám sát hệ thống theo thời gian thực</t>
  </si>
  <si>
    <t>Tạo báo cáo tài chính hàng tháng</t>
  </si>
  <si>
    <t>Lập kế hoạch triển khai ứng dụng</t>
  </si>
  <si>
    <t>Lưu trữ file cấu hình</t>
  </si>
  <si>
    <t>Trong quá trình "Quản lý phiên bản và khắc phục lỗi cơ bản", khi "đảm bảo tính ổn định", yếu tố nào cần được ưu tiên sau khi thực hiện khắc phục lỗi?</t>
  </si>
  <si>
    <t>Kiểm tra lại kỹ lưỡng để chắc chắn rằng lỗi đã được giải quyết và không phát sinh lỗi mới do việc sửa lỗi.</t>
  </si>
  <si>
    <t>Trong quy trình xử lý sự cố , bước đầu tiên sau khi phát hiện sự cố là gì?</t>
  </si>
  <si>
    <t>Kiểm tra và xác định có đúng là sự cố hay không</t>
  </si>
  <si>
    <t>Triển khai bản vá mà không cần phê duyệt</t>
  </si>
  <si>
    <t>Gửi cảnh báo đến khách hàng</t>
  </si>
  <si>
    <t>Khởi động lại ứng dụng</t>
  </si>
  <si>
    <t>Hệ thống thanh toán của NAPAS gặp sự cố giảm tốc độ xử lý giao dịch trong giờ cao điểm. Để cải thiện hiệu suất và bảo mật hệ thống một cách tối ưu và tiết kiệm nhất, Anh/Chị sẽ thực hiện các công việc nào sau đây?
(1) Nâng cấp phần cứng để tăng khả năng xử lý của hệ thống.
(2) Cập nhật phần mềm bảo mật, kiểm tra các lỗi bảo mật tiềm ẩn trong hệ thống.
(3) Tối ưu mã nguồn ứng dụng và cấu hình lại các chỉ số hệ thống.
(4) Cải thiện cấu trúc cơ sở dữ liệu, tối ưu hóa các câu truy vấn và tăng cường bảo mật dữ liệu người dùng.</t>
  </si>
  <si>
    <t>Khi "Phân tích hiệu quả vận hành của hệ thống ứng dụng và dịch vụ, để xuất giải pháp tăng tính ổn định và an toàn dữ liệu", chuyên viên cần tập trung vào những chỉ số nào?</t>
  </si>
  <si>
    <t>Thời gian phản hồi của hệ thống, tỷ lệ lỗi, thời gian ngưng hoạt động (downtime), và các lỗ hổng bảo mật tiềm ẩn.</t>
  </si>
  <si>
    <t>Mục tiêu của việc "Quản lý phiên bản, đánh giá và triển khai hiệu quả các bản cập nhật mới" cho hệ thống ứng dụng là gì?</t>
  </si>
  <si>
    <t>Đảm bảo các bản cập nhật mang lại giá trị, cải thiện hiệu năng hoặc bảo mật, đồng thời giảm thiểu rủi ro và gián đoạn cho người dùng trong quá trình triển khai.</t>
  </si>
  <si>
    <t>Hệ thống cổng thanh toán của NAPAS đang gặp phải tình trạng độ trễ giao dịch cao khi kết nối với các đối tác quốc tế. Bộ phận kỹ thuật nhận định nguyên nhân có thể là do các kết nối API giữa các hệ thống thanh toán. Tuy nhiên, Bộ phận thanh tóa, tra soát, đối soát báo cáo rằng họ gặp khó khăn trong việc đối chiếu dữ liệu giao dịch. Anh/Chị được yêu cầu đưa ra giải pháp để cải thiện tình trạng này. Anh/Chị sẽ làm gì trong tình huống này?
(1) Tăng cường bảo mật API, đảm bảo mã hóa dữ liệu khi trao đổi giữa các đối tác quốc tế.
(2) Đề xuất kiểm tra và tối ưu hóa kết nối API để giảm độ trễ trong quá trình giao dịch.
(3) Đề xuất cập nhật phần mềm cổng thanh toán và kiểm tra các bản vá lỗi liên quan đến kết nối API.
(4) Phát triển và triển khai công cụ giám sát hiệu suất giao dịch, giúp phát hiện các vấn đề trong thời gian thực.</t>
  </si>
  <si>
    <t>Giám sát và vận hành ứng dụng: Giám sát,  Xử lý, phân tích, dự báo lỗi và phát triển giải pháp khắc phục toàn diện</t>
  </si>
  <si>
    <t>Để "Giải quyết các lỗi truy cập và đăng nhập trong các ứng dụng kinh doanh và ứng dụng quản trị nội bộ của Công ty", bước đầu tiên một nhân viên giám sát và vận hành nên làm là gì?</t>
  </si>
  <si>
    <t>Xác định chính xác phạm vi ảnh hưởng của lỗi (một người, một nhóm hay toàn bộ người dùng) và thu thập thông tin chi tiết về thông báo lỗi.</t>
  </si>
  <si>
    <t>Để nâng cao chất lượng dịch vụ ứng dụng, Anh/Chị nên làm gì trong quá trình xử lý lỗi truy cập?</t>
  </si>
  <si>
    <t>Cải thiện hệ thống giám sát, xử lý lỗi nhanh chóng và giảm thiểu gián đoạn dịch vụ.</t>
  </si>
  <si>
    <t>Hướng dẫn người dùng tự giải quyết vấn đề mà không cần sự can thiệp.</t>
  </si>
  <si>
    <t>Chỉ sửa lỗi khi người dùng thông báo và không cần kiểm tra hệ thống thường xuyên.</t>
  </si>
  <si>
    <t>Đảm bảo không có lỗi truy cập trong ứng dụng, nhưng không cần bảo trì định kỳ.</t>
  </si>
  <si>
    <t>Để nâng cao chất lượng dịch vụ ứng dụng, hành động nào là quan trọng nhất khi xử lý lỗi truy cập của người dùng?</t>
  </si>
  <si>
    <t>Ghi nhận lỗi, phân tích nguyên nhân và khắc phục theo quy trình</t>
  </si>
  <si>
    <t>Gỡ bỏ tính năng gây lỗi để tránh khiếu nại</t>
  </si>
  <si>
    <t>Tạm thời khởi động lại hệ thống rồi theo dõi tiếp</t>
  </si>
  <si>
    <t>Yêu cầu người dùng thử lại sau vài giờ</t>
  </si>
  <si>
    <t>Khi người dùng không thể đăng nhập vào hệ thống, Anh/Chị nên làm gì tiếp theo?</t>
  </si>
  <si>
    <t>Kiểm tra nhật ký hệ thống và xác minh xem có sự cố bảo mật hoặc gián đoạn nào không.</t>
  </si>
  <si>
    <t>Đưa ra hướng dẫn cơ bản và yêu cầu người dùng thử lại sau vài phút.</t>
  </si>
  <si>
    <t>Chỉ yêu cầu người dùng thay đổi mật khẩu mà không kiểm tra thêm.</t>
  </si>
  <si>
    <t>Yêu cầu người dùng liên hệ với bộ phận hỗ trợ và chờ đợi phản hồi.</t>
  </si>
  <si>
    <t>Khi người dùng không thể đăng nhập vào hệ thống, bước xử lý đầu tiên nên thực hiện là gì?</t>
  </si>
  <si>
    <t>Xác minh nguyên nhân ban đầu như sai mật khẩu, khóa tài khoản hoặc lỗi hệ thống</t>
  </si>
  <si>
    <t>Yêu cầu người dùng cài lại trình duyệt</t>
  </si>
  <si>
    <t>Tắt toàn bộ hệ thống để kiểm tra</t>
  </si>
  <si>
    <t>Giao lại cho bộ phận phát triển phần mềm xử lý</t>
  </si>
  <si>
    <t>Trong quá trình "Giám sát và xử lý lỗi cơ bản" của các ứng dụng, nếu phát hiện một lỗi thường xuyên xảy ra với một nhóm người dùng cụ thể, người vận hành nên làm gì?</t>
  </si>
  <si>
    <t>Ghi nhận lại thông tin lỗi, các bước tái hiện (nếu có) và chuyển cho bộ phận phát triển hoặc nhà cung cấp để điều tra sâu hơn.</t>
  </si>
  <si>
    <t>Để "Phân tích và xử lý lỗi một chức năng của ứng dụng nghiệp vụ đơn giản", chuyên viên cần có khả năng nào sau đây?</t>
  </si>
  <si>
    <t>Đọc hiểu tài liệu kỹ thuật của ứng dụng, sử dụng các công cụ ghi log hoặc gỡ lỗi cơ bản để truy vết và xác định điểm gây ra lỗi.</t>
  </si>
  <si>
    <t>Để cải thiện hiệu suất sau khi phát hiện lỗi gây chậm chức năng, cán bộ vận hành nên:</t>
  </si>
  <si>
    <t>Đo hiệu suất (performance metrics), kiểm tra log và xác định điểm nghẽn trong xử lý</t>
  </si>
  <si>
    <t>Tăng RAM của máy chủ mà không cần phân tích</t>
  </si>
  <si>
    <t>Dừng dịch vụ trong giờ cao điểm</t>
  </si>
  <si>
    <t>Vô hiệu hóa chức năng lỗi</t>
  </si>
  <si>
    <t>Khi gặp lỗi trong một chức năng đơn giản của ứng dụng, Anh/Chị nên xử lý như thế nào?</t>
  </si>
  <si>
    <t>Phân tích chức năng, tái tạo lỗi và xác định giải pháp nhanh chóng.</t>
  </si>
  <si>
    <t>Kiểm tra sự kết nối mạng và yêu cầu người dùng thử lại sau.</t>
  </si>
  <si>
    <t>Khôi phục lại phiên bản ứng dụng trước đó mà không phân tích lỗi.</t>
  </si>
  <si>
    <t>Đảm bảo ứng dụng hoạt động bình thường và chuyển tiếp lỗi cho bộ phận phát triển.</t>
  </si>
  <si>
    <t>Khi một chuyên viên thực hiện "Xử lý lỗi chức năng đơn lẻ; Phân tích và xử lý lỗi một chức năng của ứng dụng nghiệp vụ đơn giản hoặc trong phần mềm nội bộ", trọng tâm công việc của họ là gì?</t>
  </si>
  <si>
    <t>Cô lập vấn đề, xác định nguyên nhân gốc rễ của lỗi trong một chức năng cụ thể và áp dụng giải pháp khắc phục đã biết hoặc tìm kiếm giải pháp phù hợp.</t>
  </si>
  <si>
    <t>Khi phát hiện lỗi trong chức năng ứng dụng, Anh/Chị cần làm gì để cải thiện hiệu suất?</t>
  </si>
  <si>
    <t>Phân tích các chỉ số hiệu suất và sửa lỗi bằng cách cập nhật phần mềm.</t>
  </si>
  <si>
    <t>Tối ưu mã nguồn, giảm độ trễ và kiểm tra môi trường hoạt động ứng dụng.</t>
  </si>
  <si>
    <t>Đảm bảo các chức năng khác hoạt động bình thường và thực hiện bảo trì định kỳ.</t>
  </si>
  <si>
    <t>Cập nhật tất cả phiên bản mới nhất và yêu cầu người dùng thử lại sau.</t>
  </si>
  <si>
    <t>Theo quy trình quản trị vận hành, nếu lỗi nhỏ xảy ra ở một chức năng không ảnh hưởng đến toàn bộ hệ thống, cán bộ nên:</t>
  </si>
  <si>
    <t>Phân tích log và khôi phục chức năng nếu có giải pháp tạm thời phù hợp</t>
  </si>
  <si>
    <t>Gửi báo cáo trực tiếp lên giám đốc</t>
  </si>
  <si>
    <t>Tự ý cập nhật bản vá chưa kiểm thử</t>
  </si>
  <si>
    <t>Tắt chức năng đó đến khi có thời gian xử lý</t>
  </si>
  <si>
    <t>Để "Xử lý lỗi đa chức năng và quy trình" một cách hiệu quả, chuyên viên cần tiếp cận vấn đề như thế nào?</t>
  </si>
  <si>
    <t>Xem xét sự tương tác giữa các chức năng và các bước trong quy trình, tìm kiếm các điểm mâu thuẫn hoặc không nhất quán có thể gây ra lỗi.</t>
  </si>
  <si>
    <t>Khi "Tham gia xử lý lỗi trong các quy trình nghiệp vụ liên quan đến nhiều phòng ban, ví dụ các lỗi luồng dữ liệu khiên trên hệ thống cổng thanh toán; hệ thống tự động báo cáo", kỹ năng nào là quan trọng nhất?</t>
  </si>
  <si>
    <t>Khả năng phối hợp với nhiều bên liên quan, phân tích luồng dữ liệu hoặc quy trình tổng thể để xác định điểm gây lỗi và thống nhất giải pháp.</t>
  </si>
  <si>
    <t>Hỗ trợ, xử lý yêu cầu người dùng: Hỗ trợ khắc phục sự cố và chuyển tải yêu cầu đến đơn vị phát triển ứng dụng</t>
  </si>
  <si>
    <t>Khi xử lý một lỗi liên quan đến luồng điều khiển của hệ thống thanh toán, Anh/Chị phát hiện ra rằng có sự không đồng bộ trong quá trình xác thực giữa hệ thống của Napas và hệ thống của ngân hàng. Điều này dẫn đến việc giao dịch bị treo và không hoàn tất. Anh/Chị cần làm gì để khắc phục sự cố này?</t>
  </si>
  <si>
    <t>Liên hệ với ngân hàng để kiểm tra lại quy trình xác thực và thực hiện đồng bộ lại thông tin giữa các hệ thống; xác định nguyên nhân của sự không đồng bộ và đồng bộ lại các thông tin giữa hệ thống của Napas và hệ thống ngân hàng.</t>
  </si>
  <si>
    <t>Liên hệ với ngân hàng để kiểm tra lại quy trình xác thực và thực hiện đồng bộ lại thông tin giữa các hệ thống; đề xuất triển khai các biện pháp bảo mật để bảo vệ hệ thống cổng thanh toán, tránh tình trạng bị tấn công làm gián đoạn giao dịch.</t>
  </si>
  <si>
    <t>Kiểm tra hệ thống của Napas, bỏ qua các vấn đề liên quan đến quy trình xác thực ngân hàng; đề xuất triển khai các biện pháp bảo mật để bảo vệ hệ thống cổng thanh toán, tránh tình trạng bị tấn công làm gián đoạn giao dịch.</t>
  </si>
  <si>
    <t>Kiểm tr hệ thống của Napas để xác định nguyên nhân của sự không đồng bộ và đồng bộ lại các thông tin giữa cổng thanh toán và hệ thống ngân hàng.</t>
  </si>
  <si>
    <t>Trong khi giám sát các hệ thống của NAPAS, Anh/Chị phát hiện một số lỗi liên quan đến việc đồng bộ hóa dữ liệu giữa các hệ thống thanh toán và hệ thống báo cáo nội bộ. Các lỗi này có thể gây ảnh hưởng đến việc tổng hợp báo cáo và gián đoạn các giao dịch. Anh/Chị sẽ làm gì để khắc phục?</t>
  </si>
  <si>
    <t>Kiểm tra lại các kết nối mạng và cấu hình hệ thống báo cáo để đảm bảo không có lỗi đồng bộ. Đánh giá và điều chỉnh lại các quy trình đồng bộ dữ liệu giữa các hệ thống thanh toán và báo cáo</t>
  </si>
  <si>
    <t>Khôi phục các hệ thống từ bản sao lưu gần nhất và theo dõi các giao dịch sau khi phục hồi. Phối hợp với các phòng ban liên quan để thay đổi quy trình báo cáo và cải tiến hệ thống thanh toán.</t>
  </si>
  <si>
    <t>Kiểm tra lại các kết nối mạng và cấu hình hệ thống báo cáo để đảm bảo không có lỗi đồng bộ. Khôi phục các hệ thống từ bản sao lưu gần nhất và theo dõi các giao dịch sau khi phục hồi.</t>
  </si>
  <si>
    <t>Kiểm tra lại các kết nối mạng và cấu hình hệ thống báo cáo để đảm bảo không có lỗi đồng bộ. Phối hợp với các phòng ban liên quan để thay đổi quy trình báo cáo và cải tiến hệ thống thanh toán.</t>
  </si>
  <si>
    <t>Trong quá trình theo dõi hoạt động của hệ thống của Napas, Anh/Chị nhận thấy dữ liệu giữa hệ thống xử lý giao dịch và hệ thống báo cáo nội bộ không được đồng bộ chính xác. Sự sai lệch này có thể ảnh hưởng đến độ tin cậy của báo cáo và gây gián đoạn trong xử lý nghiệp vụ. Anh/Chị sẽ lựa chọn phương án xử lý nào sau đây?</t>
  </si>
  <si>
    <t>Xác định nguyên nhân gốc rễ, triển khai cơ chế kiểm tra tính toàn vẹn dữ liệu và áp dụng mô hình đồng bộ có kiểm soát như hàng đợi thông điệp hoặc giao dịch hai pha</t>
  </si>
  <si>
    <t>Tạm ngắt kết nối hệ thống báo cáo để tránh ảnh hưởng đến hệ thống giao dịch chính</t>
  </si>
  <si>
    <t>Cấu hình lại toàn bộ cơ chế đồng bộ dữ liệu để đảm bảo dữ liệu nhất quán</t>
  </si>
  <si>
    <t>Bỏ qua lỗi đồng bộ nếu không ảnh hưởng trực tiếp đến giao dịch tài chính</t>
  </si>
  <si>
    <t>Một sự cố nghiêm trọng xảy ra trong hệ thống thanh toán của NAPAS, làm gián đoạn toàn bộ dịch vụ thanh toán cho các khách hàng quốc tế trong vài giờ. Sau khi rà soát, Anh/Chị phát hiện rằng một số lỗi phần mềm không được phát hiện trong quá trình kiểm tra phiên bản cũ. Anh/Chị phải tìm ra giải pháp để xử lý sự cố và tăng cường độ tin cậy của hệ thống trong tương lai. Anh/Chị sẽ thực hiện những giải pháp nào?</t>
  </si>
  <si>
    <t>(1) Đưa hệ thống về phiên bản cũ đã ổn định và triển khai một quy trình kiểm tra chặt chẽ hơn cho các phiên bản mới; và (2) Tối ưu hóa quá trình kiểm tra phần mềm và tích hợp công cụ giám sát vào các hệ thống thanh toán để phát hiện sự cố sớm.</t>
  </si>
  <si>
    <t>(1) Tăng cường phối hợp với các phòng ban khác để kiểm tra và cải thiện tính năng bảo mật của hệ thống thanh toán; và (2) Tối ưu hóa quá trình kiểm tra phần mềm và tích hợp công cụ giám sát vào các hệ thống thanh toán để phát hiện sự cố sớm.</t>
  </si>
  <si>
    <t>(1) Đưa hệ thống về phiên bản cũ đã ổn định và triển khai một quy trình kiểm tra chặt chẽ hơn cho các phiên bản mới; và (2) Tăng cường công tác đào tạo và hướng dẫn sử dụng cho các nhân viên vận hành hệ thống để giảm thiểu lỗi do con người..</t>
  </si>
  <si>
    <t>(1) Tối ưu hóa quá trình kiểm tra phần mềm và tích hợp công cụ giám sát vào các hệ thống thanh toán để phát hiện sự cố sớm; và (2) Tăng cường công tác đào tạo và hướng dẫn sử dụng cho các nhân viên vận hành hệ thống để giảm thiểu lỗi do con người.</t>
  </si>
  <si>
    <t>Trong khi vận hành hệ thống chuyển mạch của NAPAS, Anh/Chị nhận thấy có sự chậm trễ trong việc xử lý các giao dịch thanh toán quốc tế. Anh/Chị xác định rằng vấn đề có thể liên quan đến sự tích hợp không đầy đủ giữa các công cụ giám sát và hệ thống xử lý giao dịch. Anh/Chị cần phát triển một giải pháp để đảm bảo hệ thống xử lý giao dịch được tối ưu và các công cụ giám sát hoạt động hiệu quả. Anh/Chị sẽ ưu tiên thực hiện các giải pháp nào?
(1) Đưa hệ thống về phiên bản ổn định và đồng bộ với các công cụ giám sát hiệu suất để kiểm tra các giao dịch.
(2)  Xây dựng quy trình kiểm tra và báo cáo tự động cho hệ thống giám sát để phát hiện sự cố nhanh chóng.
(3) Phối hợp với bộ phận kỹ thuật để cập nhật và tối ưu hóa các công cụ giám sát hiệu suất cho hệ thống.
(4) Cập nhật phần mềm hệ thống và đảm bảo rằng công cụ giám sát được triển khai đầy đủ cho các giao dịch quốc tế.</t>
  </si>
  <si>
    <t>Khi "Tiếp nhận và hỗ trợ yêu cầu của NAPAS; hướng dẫn thao tác cơ bản và giải đáp các câu hỏi thông thường", kỹ năng nào là quan trọng nhất đối với người hỗ trợ?</t>
  </si>
  <si>
    <t>Khả năng lắng nghe, hiểu rõ vấn đề của người dùng NAPAS và truyền đạt thông tin hướng dẫn một cách rõ ràng, dễ hiểu.</t>
  </si>
  <si>
    <t>Khi người dùng gặp vấn đề khi đăng nhập vào ứng dụng, Anh/Chị nên làm gì là phù hợp nhất?</t>
  </si>
  <si>
    <t>Xác minh thông tin tài khoản, kiểm tra trạng thái đăng nhập và hỗ trợ trực tiếp.</t>
  </si>
  <si>
    <t>Hướng dẫn người dùng kiểm tra lại mật khẩu và thử lại sau.</t>
  </si>
  <si>
    <t>Kiểm tra mật khẩu của người dùng và yêu cầu thử lại sau vài phút.</t>
  </si>
  <si>
    <t>Hướng dẫn người dùng kiểm tra kết nối internet và nhập lại thông tin đăng nhập.</t>
  </si>
  <si>
    <t>Khi nhận được yêu cầu hỗ trợ từ người dùng về sự cố, Anh/Chị nên làm gì?</t>
  </si>
  <si>
    <t>Tiếp nhận yêu cầu, xác minh thông tin và chuyển tiếp cho bộ phận phát triển nếu cần.</t>
  </si>
  <si>
    <t>Kiểm tra tình trạng hệ thống và giải quyết trực tiếp yêu cầu người dùng.</t>
  </si>
  <si>
    <t>Xác nhận yêu cầu và gửi thông tin cho người dùng về thời gian phản hồi dự kiến.</t>
  </si>
  <si>
    <t>Đề nghị người dùng chờ và không làm gì thêm trong khi chờ phản hồi.</t>
  </si>
  <si>
    <t>Khi người dùng thông báo chức năng tìm kiếm không hoạt động đúng, sau khi xác định một số tham số tìm kiếm gây lỗi, hành động phù hợp là:</t>
  </si>
  <si>
    <t>Rà soát logic xử lý tham số đầu vào, điều chỉnh nếu cần và thử nghiệm lại với các giá trị mẫu</t>
  </si>
  <si>
    <t>Tự ý cập nhật tham số mà không thông báo</t>
  </si>
  <si>
    <t>Tạm ngưng toàn bộ ứng dụng để kiểm tra</t>
  </si>
  <si>
    <t>Khi phát hiện lỗi chức năng của hệ thống do thực hiện thay đổi (CHANGE) trước đó, hành động phù hợp nhất là gì?</t>
  </si>
  <si>
    <t>Kích hoạt quy trình Rollback, đánh giá tác động và thông báo đến các bên liên quan</t>
  </si>
  <si>
    <t>Giao lại lỗi cho bộ phận Helpdesk</t>
  </si>
  <si>
    <t>Một chức năng của hệ thống không hoạt động như mong đợi. Người dùng báo cáo rằng họ không thể hoàn thành tác vụ vì lỗi này. Anh/Chị phát hiện ra rằng lỗi này liên quan đến một thay đổi gần đây trong hệ thống. Anh/Chị sẽ làm gì?</t>
  </si>
  <si>
    <t>Liên hệ với đội phát triển hệ thống để khôi phục phiên bản trước của hệ thống. Phân tích kỹ lỗi, tìm nguyên nhân chính và phối hợp với đội phát triển để sửa lỗi.</t>
  </si>
  <si>
    <t>Xem lại thay đổi gần đây và thử phục hồi chức năng theo cách thủ công. Hướng dẫn người dùng làm việc với chức năng thay thế cho đến khi có giải pháp.</t>
  </si>
  <si>
    <t>Liên hệ với đội phát triển hệ thống để khôi phục phiên bản trước của hệ thống. Hướng dẫn người dùng làm việc với chức năng thay thế cho đến khi có giải pháp.</t>
  </si>
  <si>
    <t>Xem lại thay đổi gần đây và thử phục hồi chức năng theo cách thủ công. Phân tích kỹ lỗi, tìm nguyên nhân chính và phối hợp với đội phát triển.</t>
  </si>
  <si>
    <t>Một yêu cầu của người dùng liên quan đến chức năng tìm kiếm trong ứng dụng. Người dùng không thể sử dụng tính năng tìm kiếm một cách chính xác. Sau khi kiểm tra, Anh/Chị nhận thấy có sự cố với một số thông số tìm kiếm. Anh/Chị sẽ làm gì?</t>
  </si>
  <si>
    <t>Khắc phục sự cố tạm thời bằng cách điều chỉnh lại các tham số tìm kiếm. Thực hiện phân tích chi tiết về thông số tìm kiếm và phối hợp với đội phát triển ứng dụng.</t>
  </si>
  <si>
    <t>Đề xuất giải pháp thay đổi giao diện người dùng để dễ dàng sử dụng hơn. Thực hiện phân tích chi tiết về thông số tìm kiếm và phối hợp với đội phát triển ứng dụng.</t>
  </si>
  <si>
    <t>Khắc phục sự cố tạm thời bằng cách điều chỉnh lại các tham số tìm kiếm. Thông báo cho người dùng biết rằng tính năng tìm kiếm sẽ được khắc phục trong bản cập nhật tiếp theo.</t>
  </si>
  <si>
    <t>Đề xuất giải pháp thay đổi giao diện người dùng để dễ dàng sử dụng hơn. Thông báo cho người dùng biết rằng tính năng tìm kiếm sẽ được khắc phục trong bản cập nhật tiếp theo.</t>
  </si>
  <si>
    <t>Nếu một nhân viên được giao "Phân tích và xử lý các yêu cầu liên quan đến một chức năng cụ thể của ứng dụng", cách tiếp cận nào là phù hợp?</t>
  </si>
  <si>
    <t>Trao đổi kỹ với người yêu cầu để hiểu rõ mục đích, phạm vi và các tiêu chí chấp nhận của yêu cầu, sau đó đánh giá tính khả thi và các tác động có thể có.</t>
  </si>
  <si>
    <t>Trong quá trình "làm việc với đối tác triển khai ứng dụng khi cần hỗ trợ kỹ thuật sâu hơn", người hỗ trợ cần chuẩn bị những gì để buổi làm việc hiệu quả?</t>
  </si>
  <si>
    <t>Tổng hợp đầy đủ thông tin về sự cố hoặc yêu cầu, các bước đã thực hiện, kết quả thu được và các câu hỏi cụ thể cần đối tác giải đáp.</t>
  </si>
  <si>
    <t>Bộ phận hỗ trợ người dùng nhận được phản ánh rằng các giao dịch bị chậm và không được ghi nhận trong thời gian thực. Anh/Chị phát hiện rằng hệ thống thanh toán không đồng bộ với hệ thống báo cáo giao dịch. Anh/Chị sẽ thực hiện các công việc nào sau đây?
(1) Liên hệ với bộ phận phát triển ứng dụng để kiểm tra cấu hình và quy trình xử lý giao dịch.
(2) Cập nhật phiên bản phần mềm của hệ thống thanh toán và đảm bảo dữ liệu được đồng bộ ngay lập tức.
(3) Đảm bảo các kết nối mạng giữa các hệ thống được kiểm tra và khôi phục hoạt động bình thường.
(4) Phối hợp với bộ phận hỗ trợ người dùng để cập nhật trạng thái hệ thống và gửi thông báo cho người dùng.</t>
  </si>
  <si>
    <t>Khi thử nghiệm các giao dịch qua cổng thanh toán của NAPAS, Bộ phận test nhận thấy có một số giao dịch không được ghi nhận chính xác trên hệ thống. Anh/Chị nhận thấy rằng vấn đề phát sinh từ việc không đồng bộ dữ liệu giữa các hệ thống liên quan. Anh/Chị sẽ làm gì để giải quyết tình huống này?
(1) Kiểm tra lại các cấu hình hệ thống và cập nhật phiên bản phần mềm của hệ thống báo cáo.
(2) Liên hệ với bộ phận phát triển ứng dụng để kiểm tra lại quy trình xử lý giao dịch và xác định nguyên nhân.
(3) Đề xuất cải tiến quy trình giao dịch và phối hợp với các bộ phận liên quan để điều chỉnh cách thức ghi nhận giao dịch.
(4) Phối hợp với đối tác để xác nhận xem sự cố có liên quan đến bên ngoài hay không.</t>
  </si>
  <si>
    <t>(2) và (3)</t>
  </si>
  <si>
    <t>(1) và (2)</t>
  </si>
  <si>
    <t>(3) và (4)</t>
  </si>
  <si>
    <t>(1) và (4)</t>
  </si>
  <si>
    <t>Anh/Chị được yêu cầu đề xuất giải pháp quản lý phiên bản cho hệ thống cổng thanh toán quốc tế của NAPAS. Hệ thống đang gặp một số vấn đề về hiệu suất sau khi cập nhật phiên bản mới. Tuy nhiên, Anh/Chị phát hiện rằng phiên bản cũ có những lỗ hổng bảo mật nghiêm trọng và việc quay lại phiên bản cũ sẽ tạo ra những rủi ro tiềm ẩn cho hệ thống. Anh/Chị sẽ giải quyết tình huống này như thế nào?</t>
  </si>
  <si>
    <t>Đề xuất giữ nguyên phiên bản hiện tại và thực hiện các biện pháp tối ưu hóa hiệu suất mà không quay lại phiên bản cũ, nhưng phải đảm bảo rằng tất cả các vấn đề bảo mật được xử lý kịp thời. Tiến hành cập nhật các bản vá bảo mật ngay lập tức cho phiên bản cũ, đồng thời làm việc với Bộ phận phụ trách kỹ thuật hệ thống này để cải thiện hiệu suất của phiên bản mới trong thời gian ngắn.</t>
  </si>
  <si>
    <t>Tiến hành cập nhật các bản vá bảo mật ngay lập tức cho phiên bản cũ, đồng thời làm việc với Bộ phận phụ trách kỹ thuật hệ thống này để cải thiện hiệu suất của phiên bản mới trong thời gian ngắn. Quay lại phiên bản cũ sau khi đánh giá các rủi ro bảo mật và thiết lập các giải pháp bảo vệ tạm thời cho hệ thống.</t>
  </si>
  <si>
    <t>Quay lại phiên bản cũ ngay lập tức để khắc phục các vấn đề về hiệu suất, đồng thời thông báo cho các phòng ban về các lỗ hổng bảo mật tiềm ẩn. Tiến hành cập nhật các bản vá bảo mật ngay lập tức cho phiên bản cũ, đồng thời làm việc với Bộ phận phụ trách kỹ thuật hệ thống này để cải thiện hiệu suất của phiên bản mới trong thời gian ngắn.</t>
  </si>
  <si>
    <t>Tiến hành cập nhật các bản vá bảo mật ngay lập tức cho phiên bản cũ, đồng thời làm việc với Bộ phận phụ trách kỹ thuật hệ thống này để cải thiện hiệu suất của phiên bản mới trong thời gian ngắn. Tạm dừng toàn bộ hệ thống cho đến khi có bản cập nhật mới hoàn chỉnh để giải quyết cả vấn đề hiệu suất và bảo mật.</t>
  </si>
  <si>
    <t>Anh/Chị nhận được yêu cầu từ một phòng ban về việc tùy chỉnh báo cáo giao dịch thanh toán quốc tế trên hệ thống của NAPAS, yêu cầu này cần phải sử dụng công cụ Splunk để thu thập dữ liệu và báo cáo trong thời gian thực. Tuy nhiên, yêu cầu này khá đặc thù và chưa được chuẩn hóa trong hệ thống. Anh/Chị sẽ thực hiện các bước nào để giải quyết vấn đề này?</t>
  </si>
  <si>
    <t>(1) Làm việc với đội phát triển để tạo ra một giải pháp tùy chỉnh phù hợp, đồng thời cung cấp tài liệu hướng dẫn sử dụng cho người dùng; và (2) Tự tạo báo cáo tùy chỉnh trong Splunk và gửi cho phòng ban, sau đó chuyển yêu cầu này cho đội phát triển để kiểm tra.</t>
  </si>
  <si>
    <t>(1) Tư vấn cho phòng ban về cách sử dụng các báo cáo mặc định trong hệ thống Splunk và khuyến khích họ không cần thay đổi gì; và (2) Làm việc với đội phát triển để tạo ra một giải pháp tùy chỉnh phù hợp, đồng thời cung cấp tài liệu hướng dẫn sử dụng cho người dùng.</t>
  </si>
  <si>
    <t>(1) Tư vấn cho phòng ban về cách sử dụng các báo cáo mặc định trong hệ thống Splunk và khuyến khích họ không cần thay đổi gì; (2) Làm việc với đội phát triển để tạo ra một giải pháp tùy chỉnh phù hợp, đồng thời cung cấp tài liệu hướng dẫn sử dụng cho người dùng; và (3) Hướng dẫn người dùng sử dụng Confluence để báo cáo vấn đề, thay vì sử dụng Splunk, do Confluence có thể dễ dàng hơn cho người không chuyên.</t>
  </si>
  <si>
    <t>(1) Tư vấn cho phòng ban về cách sử dụng các báo cáo mặc định trong hệ thống Splunk và khuyến khích họ không cần thay đổi gì; và (2) Hướng dẫn người dùng sử dụng Confluence để báo cáo vấn đề, thay vì sử dụng Splunk, do Confluence có thể dễ dàng hơn cho người không chuyên.</t>
  </si>
  <si>
    <t>Khi triển khai hệ thống chuyển mạch cho một tổ chức tài chính đối tác, hệ thống báo cáo tự động của NAPAS không thể cung cấp dữ liệu giao dịch đúng thời gian. Việc này ảnh hưởng đến quá trình đối chiếu giao dịch và chuẩn bị báo cáo tài chính của các phòng ban. Anh/chị phát hiện rằng nguyên nhân có thể là do sự cố đồng bộ dữ liệu giữa các hệ thống con. Trong tình huống này, Anh/chị sẽ làm gì để đảm bảo tính ổn định và chất lượng dịch vụ?
(1) Tăng cường giám sát để phát hiện và khắc phục sự cố về đồng bộ dữ liệu ngay lập tức.
(2) Khôi phục hệ thống từ bản sao lưu để đảm bảo dữ liệu luôn chính xác trong báo cáo.
(3) Phối hợp với các phòng ban để rà soát lại các quy trình đồng bộ dữ liệu và cập nhật phần mềm cần thiết.
(4) Kiểm tra và tối ưu hóa quy trình lưu trữ và truy xuất dữ liệu của hệ thống báo cáo.</t>
  </si>
  <si>
    <t>P16 - Giám sát, vận hành, quản trị ứng dụng CNTT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</si>
</sst>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s>
  <fills count="10">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s>
  <borders count="3">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s>
  <cellStyleXfs count="2">
    <xf numFmtId="0" fontId="0" fillId="0" borderId="0"/>
    <xf numFmtId="0" fontId="2" fillId="0" borderId="0"/>
  </cellStyleXfs>
  <cellXfs count="25">
    <xf numFmtId="0" fontId="0" fillId="0" borderId="0" xfId="0"/>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7" fillId="0" borderId="1" xfId="0" quotePrefix="1" applyFont="1" applyBorder="1" applyAlignment="1">
      <alignment horizontal="center" vertical="top" wrapText="1"/>
    </xf>
    <xf numFmtId="0" fontId="4" fillId="5" borderId="1" xfId="0"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quotePrefix="1" applyFont="1" applyBorder="1" applyAlignment="1">
      <alignment vertical="top" wrapText="1"/>
    </xf>
    <xf numFmtId="0" fontId="5" fillId="0" borderId="1" xfId="1" applyFont="1" applyBorder="1" applyAlignment="1" applyProtection="1">
      <alignment horizontal="left" vertical="top" wrapText="1"/>
      <protection locked="0"/>
    </xf>
    <xf numFmtId="0" fontId="4" fillId="8" borderId="1" xfId="0" quotePrefix="1" applyFont="1" applyFill="1" applyBorder="1" applyAlignment="1">
      <alignment vertical="top" wrapText="1"/>
    </xf>
    <xf numFmtId="0" fontId="4" fillId="8" borderId="1" xfId="0" applyFont="1" applyFill="1" applyBorder="1" applyAlignment="1">
      <alignment vertical="top" wrapText="1"/>
    </xf>
    <xf numFmtId="0" fontId="5" fillId="8" borderId="1" xfId="1" applyFont="1" applyFill="1" applyBorder="1" applyAlignment="1" applyProtection="1">
      <alignment horizontal="left" vertical="top" wrapText="1"/>
      <protection locked="0"/>
    </xf>
    <xf numFmtId="0" fontId="3" fillId="0" borderId="0" xfId="0" applyFont="1" applyAlignment="1">
      <alignment horizontal="center" vertical="top"/>
    </xf>
    <xf numFmtId="0" fontId="3" fillId="0" borderId="0" xfId="0" applyFont="1" applyAlignment="1">
      <alignment vertical="top"/>
    </xf>
    <xf numFmtId="0" fontId="8" fillId="0" borderId="0" xfId="0" applyFont="1" applyAlignment="1">
      <alignment horizontal="left" vertical="top"/>
    </xf>
    <xf numFmtId="0" fontId="7" fillId="0" borderId="0" xfId="0" applyFont="1" applyAlignment="1">
      <alignment vertical="top"/>
    </xf>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2" xfId="0" applyFont="1" applyFill="1" applyBorder="1" applyAlignment="1">
      <alignment vertical="top" wrapText="1"/>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6" fillId="4"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3" borderId="1" xfId="0" applyFont="1" applyFill="1" applyBorder="1" applyAlignment="1">
      <alignment horizontal="center" vertical="top" wrapText="1"/>
    </xf>
  </cellXfs>
  <cellStyles count="2">
    <cellStyle name="Normal" xfId="0" builtinId="0"/>
    <cellStyle name="Normal 2" xfId="1" xr:uid="{17F16F5E-965D-40AC-9573-37F3BFECD5A9}"/>
  </cellStyles>
  <dxfs count="1">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2:J63"/>
  <sheetViews>
    <sheetView showGridLines="0" tabSelected="1" zoomScale="70" zoomScaleNormal="70" workbookViewId="0">
      <selection activeCell="B2" sqref="B2"/>
    </sheetView>
  </sheetViews>
  <sheetFormatPr defaultColWidth="9" defaultRowHeight="14.25" outlineLevelRow="1" x14ac:dyDescent="0.25"/>
  <cols>
    <col min="1" max="1" width="2.85546875" style="13" customWidth="1"/>
    <col min="2" max="2" width="7.85546875" style="12" customWidth="1"/>
    <col min="3" max="3" width="9" style="12"/>
    <col min="4" max="4" width="25.42578125" style="13" customWidth="1"/>
    <col min="5" max="5" width="9" style="12"/>
    <col min="6" max="10" width="45.42578125" style="13" customWidth="1"/>
    <col min="11" max="11" width="9" style="13"/>
    <col min="12" max="12" width="12.7109375" style="13" customWidth="1"/>
    <col min="13" max="16384" width="9" style="13"/>
  </cols>
  <sheetData>
    <row r="2" spans="2:10" ht="26.45" customHeight="1" x14ac:dyDescent="0.25">
      <c r="B2" s="14" t="s">
        <v>196</v>
      </c>
    </row>
    <row r="3" spans="2:10" ht="10.35" customHeight="1" x14ac:dyDescent="0.25">
      <c r="B3" s="14"/>
    </row>
    <row r="4" spans="2:10" ht="31.7" customHeight="1" outlineLevel="1" x14ac:dyDescent="0.25">
      <c r="B4" s="14"/>
      <c r="D4" s="18" t="s">
        <v>10</v>
      </c>
      <c r="E4" s="19" t="s">
        <v>11</v>
      </c>
      <c r="F4" s="20">
        <v>1</v>
      </c>
      <c r="G4" s="20">
        <v>2</v>
      </c>
      <c r="H4" s="20">
        <v>3</v>
      </c>
    </row>
    <row r="5" spans="2:10" ht="20.100000000000001" customHeight="1" outlineLevel="1" x14ac:dyDescent="0.25">
      <c r="B5" s="14"/>
      <c r="D5" s="19" t="s">
        <v>11</v>
      </c>
      <c r="E5" s="16">
        <f>SUM(E6:E9)</f>
        <v>50</v>
      </c>
      <c r="F5" s="17">
        <f>SUM(F6:F9)</f>
        <v>18</v>
      </c>
      <c r="G5" s="17">
        <f t="shared" ref="G5:H5" si="0">SUM(G6:G9)</f>
        <v>19</v>
      </c>
      <c r="H5" s="17">
        <f t="shared" si="0"/>
        <v>13</v>
      </c>
    </row>
    <row r="6" spans="2:10" ht="20.100000000000001" customHeight="1" outlineLevel="1" x14ac:dyDescent="0.25">
      <c r="B6" s="14"/>
      <c r="D6" s="20">
        <v>1</v>
      </c>
      <c r="E6" s="17">
        <f>SUM(F6:H6)</f>
        <v>16</v>
      </c>
      <c r="F6" s="21">
        <f>COUNTIFS($E$13:$E$200,$D6,$C$13:$C$200,F$4)</f>
        <v>7</v>
      </c>
      <c r="G6" s="21">
        <f t="shared" ref="G6:H9" si="1">COUNTIFS($E$13:$E$200,$D6,$C$13:$C$200,G$4)</f>
        <v>6</v>
      </c>
      <c r="H6" s="21">
        <f t="shared" si="1"/>
        <v>3</v>
      </c>
    </row>
    <row r="7" spans="2:10" ht="20.100000000000001" customHeight="1" outlineLevel="1" x14ac:dyDescent="0.25">
      <c r="B7" s="14"/>
      <c r="D7" s="20">
        <v>2</v>
      </c>
      <c r="E7" s="17">
        <f t="shared" ref="E7:E9" si="2">SUM(F7:H7)</f>
        <v>18</v>
      </c>
      <c r="F7" s="21">
        <f t="shared" ref="F7:F9" si="3">COUNTIFS($E$13:$E$200,$D7,$C$13:$C$200,F$4)</f>
        <v>6</v>
      </c>
      <c r="G7" s="21">
        <f t="shared" si="1"/>
        <v>6</v>
      </c>
      <c r="H7" s="21">
        <f t="shared" si="1"/>
        <v>6</v>
      </c>
    </row>
    <row r="8" spans="2:10" ht="20.100000000000001" customHeight="1" outlineLevel="1" x14ac:dyDescent="0.25">
      <c r="B8" s="14"/>
      <c r="D8" s="20">
        <v>3</v>
      </c>
      <c r="E8" s="17">
        <f t="shared" si="2"/>
        <v>10</v>
      </c>
      <c r="F8" s="21">
        <f t="shared" si="3"/>
        <v>3</v>
      </c>
      <c r="G8" s="21">
        <f t="shared" si="1"/>
        <v>5</v>
      </c>
      <c r="H8" s="21">
        <f t="shared" si="1"/>
        <v>2</v>
      </c>
    </row>
    <row r="9" spans="2:10" ht="20.100000000000001" customHeight="1" outlineLevel="1" x14ac:dyDescent="0.25">
      <c r="B9" s="14"/>
      <c r="D9" s="20">
        <v>4</v>
      </c>
      <c r="E9" s="17">
        <f t="shared" si="2"/>
        <v>6</v>
      </c>
      <c r="F9" s="21">
        <f t="shared" si="3"/>
        <v>2</v>
      </c>
      <c r="G9" s="21">
        <f t="shared" si="1"/>
        <v>2</v>
      </c>
      <c r="H9" s="21">
        <f t="shared" si="1"/>
        <v>2</v>
      </c>
    </row>
    <row r="10" spans="2:10" ht="6.75" customHeight="1" x14ac:dyDescent="0.25"/>
    <row r="11" spans="2:10" ht="19.350000000000001" customHeight="1" x14ac:dyDescent="0.25">
      <c r="B11" s="24" t="s">
        <v>0</v>
      </c>
      <c r="C11" s="24" t="s">
        <v>1</v>
      </c>
      <c r="D11" s="24" t="s">
        <v>2</v>
      </c>
      <c r="E11" s="24" t="s">
        <v>3</v>
      </c>
      <c r="F11" s="22" t="s">
        <v>8</v>
      </c>
      <c r="G11" s="23" t="s">
        <v>9</v>
      </c>
      <c r="H11" s="23"/>
      <c r="I11" s="23"/>
      <c r="J11" s="23"/>
    </row>
    <row r="12" spans="2:10" ht="19.350000000000001" customHeight="1" x14ac:dyDescent="0.25">
      <c r="B12" s="24"/>
      <c r="C12" s="24"/>
      <c r="D12" s="24"/>
      <c r="E12" s="24"/>
      <c r="F12" s="22"/>
      <c r="G12" s="6" t="s">
        <v>4</v>
      </c>
      <c r="H12" s="6" t="s">
        <v>5</v>
      </c>
      <c r="I12" s="6" t="s">
        <v>6</v>
      </c>
      <c r="J12" s="6" t="s">
        <v>7</v>
      </c>
    </row>
    <row r="13" spans="2:10" s="15" customFormat="1" ht="12" x14ac:dyDescent="0.25">
      <c r="B13" s="4" t="str">
        <f t="shared" ref="B13:J13" si="4">"("&amp;COLUMN()-COLUMN($A$13)&amp;")"</f>
        <v>(1)</v>
      </c>
      <c r="C13" s="4" t="str">
        <f t="shared" si="4"/>
        <v>(2)</v>
      </c>
      <c r="D13" s="4" t="str">
        <f t="shared" si="4"/>
        <v>(3)</v>
      </c>
      <c r="E13" s="4" t="str">
        <f t="shared" si="4"/>
        <v>(4)</v>
      </c>
      <c r="F13" s="4" t="str">
        <f t="shared" si="4"/>
        <v>(5)</v>
      </c>
      <c r="G13" s="4" t="str">
        <f t="shared" si="4"/>
        <v>(6)</v>
      </c>
      <c r="H13" s="4" t="str">
        <f t="shared" si="4"/>
        <v>(7)</v>
      </c>
      <c r="I13" s="4" t="str">
        <f t="shared" si="4"/>
        <v>(8)</v>
      </c>
      <c r="J13" s="4" t="str">
        <f t="shared" si="4"/>
        <v>(9)</v>
      </c>
    </row>
    <row r="14" spans="2:10" ht="76.5" x14ac:dyDescent="0.25">
      <c r="B14" s="1">
        <f>ROW()-ROW($B$13)</f>
        <v>1</v>
      </c>
      <c r="C14" s="2">
        <v>1</v>
      </c>
      <c r="D14" s="3" t="s">
        <v>17</v>
      </c>
      <c r="E14" s="2">
        <v>1</v>
      </c>
      <c r="F14" s="5" t="s">
        <v>18</v>
      </c>
      <c r="G14" s="9" t="s">
        <v>19</v>
      </c>
      <c r="H14" s="7"/>
      <c r="I14" s="7"/>
      <c r="J14" s="7"/>
    </row>
    <row r="15" spans="2:10" ht="63.75" x14ac:dyDescent="0.25">
      <c r="B15" s="1">
        <f t="shared" ref="B15:B35" si="5">ROW()-ROW($B$13)</f>
        <v>2</v>
      </c>
      <c r="C15" s="2">
        <v>1</v>
      </c>
      <c r="D15" s="3" t="s">
        <v>17</v>
      </c>
      <c r="E15" s="2">
        <v>1</v>
      </c>
      <c r="F15" s="5" t="s">
        <v>20</v>
      </c>
      <c r="G15" s="10" t="s">
        <v>21</v>
      </c>
      <c r="H15" s="3" t="s">
        <v>22</v>
      </c>
      <c r="I15" s="3" t="s">
        <v>23</v>
      </c>
      <c r="J15" s="3" t="s">
        <v>24</v>
      </c>
    </row>
    <row r="16" spans="2:10" ht="63.75" x14ac:dyDescent="0.25">
      <c r="B16" s="1">
        <f t="shared" si="5"/>
        <v>3</v>
      </c>
      <c r="C16" s="2">
        <v>1</v>
      </c>
      <c r="D16" s="3" t="s">
        <v>17</v>
      </c>
      <c r="E16" s="2">
        <v>1</v>
      </c>
      <c r="F16" s="5" t="s">
        <v>25</v>
      </c>
      <c r="G16" s="10" t="s">
        <v>26</v>
      </c>
      <c r="H16" s="3" t="s">
        <v>27</v>
      </c>
      <c r="I16" s="3" t="s">
        <v>28</v>
      </c>
      <c r="J16" s="3" t="s">
        <v>29</v>
      </c>
    </row>
    <row r="17" spans="2:10" ht="89.25" x14ac:dyDescent="0.25">
      <c r="B17" s="1">
        <f t="shared" si="5"/>
        <v>4</v>
      </c>
      <c r="C17" s="2">
        <v>1</v>
      </c>
      <c r="D17" s="3" t="s">
        <v>17</v>
      </c>
      <c r="E17" s="2">
        <v>1</v>
      </c>
      <c r="F17" s="5" t="s">
        <v>30</v>
      </c>
      <c r="G17" s="10" t="s">
        <v>31</v>
      </c>
      <c r="H17" s="3"/>
      <c r="I17" s="3"/>
      <c r="J17" s="3"/>
    </row>
    <row r="18" spans="2:10" ht="63.75" x14ac:dyDescent="0.25">
      <c r="B18" s="1">
        <f t="shared" si="5"/>
        <v>5</v>
      </c>
      <c r="C18" s="2">
        <v>1</v>
      </c>
      <c r="D18" s="3" t="s">
        <v>17</v>
      </c>
      <c r="E18" s="2">
        <v>1</v>
      </c>
      <c r="F18" s="5" t="s">
        <v>32</v>
      </c>
      <c r="G18" s="10" t="s">
        <v>33</v>
      </c>
      <c r="H18" s="3" t="s">
        <v>34</v>
      </c>
      <c r="I18" s="3" t="s">
        <v>35</v>
      </c>
      <c r="J18" s="3" t="s">
        <v>36</v>
      </c>
    </row>
    <row r="19" spans="2:10" ht="102" x14ac:dyDescent="0.25">
      <c r="B19" s="1">
        <f t="shared" si="5"/>
        <v>6</v>
      </c>
      <c r="C19" s="2">
        <v>1</v>
      </c>
      <c r="D19" s="3" t="s">
        <v>17</v>
      </c>
      <c r="E19" s="2">
        <v>1</v>
      </c>
      <c r="F19" s="5" t="s">
        <v>37</v>
      </c>
      <c r="G19" s="10" t="s">
        <v>38</v>
      </c>
      <c r="H19" s="3"/>
      <c r="I19" s="3"/>
      <c r="J19" s="3"/>
    </row>
    <row r="20" spans="2:10" ht="63.75" x14ac:dyDescent="0.25">
      <c r="B20" s="1">
        <f t="shared" si="5"/>
        <v>7</v>
      </c>
      <c r="C20" s="2">
        <v>1</v>
      </c>
      <c r="D20" s="3" t="s">
        <v>17</v>
      </c>
      <c r="E20" s="2">
        <v>1</v>
      </c>
      <c r="F20" s="5" t="s">
        <v>39</v>
      </c>
      <c r="G20" s="10" t="s">
        <v>40</v>
      </c>
      <c r="H20" s="3"/>
      <c r="I20" s="3"/>
      <c r="J20" s="3"/>
    </row>
    <row r="21" spans="2:10" ht="63.75" x14ac:dyDescent="0.25">
      <c r="B21" s="1">
        <f t="shared" si="5"/>
        <v>8</v>
      </c>
      <c r="C21" s="2">
        <v>1</v>
      </c>
      <c r="D21" s="3" t="s">
        <v>17</v>
      </c>
      <c r="E21" s="2">
        <v>2</v>
      </c>
      <c r="F21" s="5" t="s">
        <v>41</v>
      </c>
      <c r="G21" s="10" t="s">
        <v>42</v>
      </c>
      <c r="H21" s="3" t="s">
        <v>43</v>
      </c>
      <c r="I21" s="3" t="s">
        <v>44</v>
      </c>
      <c r="J21" s="3" t="s">
        <v>45</v>
      </c>
    </row>
    <row r="22" spans="2:10" ht="63.75" x14ac:dyDescent="0.25">
      <c r="B22" s="1">
        <f t="shared" si="5"/>
        <v>9</v>
      </c>
      <c r="C22" s="2">
        <v>1</v>
      </c>
      <c r="D22" s="3" t="s">
        <v>17</v>
      </c>
      <c r="E22" s="2">
        <v>2</v>
      </c>
      <c r="F22" s="5" t="s">
        <v>46</v>
      </c>
      <c r="G22" s="11" t="s">
        <v>47</v>
      </c>
      <c r="H22" s="8"/>
      <c r="I22" s="8"/>
      <c r="J22" s="8"/>
    </row>
    <row r="23" spans="2:10" ht="63.75" x14ac:dyDescent="0.25">
      <c r="B23" s="1">
        <f t="shared" si="5"/>
        <v>10</v>
      </c>
      <c r="C23" s="2">
        <v>1</v>
      </c>
      <c r="D23" s="3" t="s">
        <v>17</v>
      </c>
      <c r="E23" s="2">
        <v>2</v>
      </c>
      <c r="F23" s="5" t="s">
        <v>48</v>
      </c>
      <c r="G23" s="11" t="s">
        <v>49</v>
      </c>
      <c r="H23" s="8" t="s">
        <v>50</v>
      </c>
      <c r="I23" s="8" t="s">
        <v>51</v>
      </c>
      <c r="J23" s="8" t="s">
        <v>52</v>
      </c>
    </row>
    <row r="24" spans="2:10" ht="63.75" x14ac:dyDescent="0.25">
      <c r="B24" s="1">
        <f t="shared" si="5"/>
        <v>11</v>
      </c>
      <c r="C24" s="2">
        <v>1</v>
      </c>
      <c r="D24" s="3" t="s">
        <v>17</v>
      </c>
      <c r="E24" s="2">
        <v>2</v>
      </c>
      <c r="F24" s="5" t="s">
        <v>53</v>
      </c>
      <c r="G24" s="11" t="s">
        <v>54</v>
      </c>
      <c r="H24" s="8" t="s">
        <v>55</v>
      </c>
      <c r="I24" s="8" t="s">
        <v>56</v>
      </c>
      <c r="J24" s="8" t="s">
        <v>57</v>
      </c>
    </row>
    <row r="25" spans="2:10" ht="63.75" x14ac:dyDescent="0.25">
      <c r="B25" s="1">
        <f t="shared" si="5"/>
        <v>12</v>
      </c>
      <c r="C25" s="2">
        <v>1</v>
      </c>
      <c r="D25" s="3" t="s">
        <v>17</v>
      </c>
      <c r="E25" s="2">
        <v>2</v>
      </c>
      <c r="F25" s="5" t="s">
        <v>58</v>
      </c>
      <c r="G25" s="11" t="s">
        <v>59</v>
      </c>
      <c r="H25" s="8"/>
      <c r="I25" s="8"/>
      <c r="J25" s="8"/>
    </row>
    <row r="26" spans="2:10" ht="63.75" x14ac:dyDescent="0.25">
      <c r="B26" s="1">
        <f t="shared" si="5"/>
        <v>13</v>
      </c>
      <c r="C26" s="2">
        <v>1</v>
      </c>
      <c r="D26" s="3" t="s">
        <v>17</v>
      </c>
      <c r="E26" s="2">
        <v>2</v>
      </c>
      <c r="F26" s="5" t="s">
        <v>60</v>
      </c>
      <c r="G26" s="10" t="s">
        <v>61</v>
      </c>
      <c r="H26" s="3" t="s">
        <v>62</v>
      </c>
      <c r="I26" s="3" t="s">
        <v>63</v>
      </c>
      <c r="J26" s="3" t="s">
        <v>64</v>
      </c>
    </row>
    <row r="27" spans="2:10" ht="178.5" x14ac:dyDescent="0.25">
      <c r="B27" s="1">
        <f t="shared" si="5"/>
        <v>14</v>
      </c>
      <c r="C27" s="2">
        <v>1</v>
      </c>
      <c r="D27" s="3" t="s">
        <v>17</v>
      </c>
      <c r="E27" s="2">
        <v>3</v>
      </c>
      <c r="F27" s="5" t="s">
        <v>65</v>
      </c>
      <c r="G27" s="10" t="s">
        <v>14</v>
      </c>
      <c r="H27" s="3" t="s">
        <v>12</v>
      </c>
      <c r="I27" s="3" t="s">
        <v>13</v>
      </c>
      <c r="J27" s="3" t="s">
        <v>16</v>
      </c>
    </row>
    <row r="28" spans="2:10" ht="63.75" x14ac:dyDescent="0.25">
      <c r="B28" s="1">
        <f t="shared" si="5"/>
        <v>15</v>
      </c>
      <c r="C28" s="2">
        <v>1</v>
      </c>
      <c r="D28" s="3" t="s">
        <v>17</v>
      </c>
      <c r="E28" s="2">
        <v>3</v>
      </c>
      <c r="F28" s="5" t="s">
        <v>66</v>
      </c>
      <c r="G28" s="10" t="s">
        <v>67</v>
      </c>
      <c r="H28" s="3"/>
      <c r="I28" s="3"/>
      <c r="J28" s="3"/>
    </row>
    <row r="29" spans="2:10" ht="63.75" x14ac:dyDescent="0.25">
      <c r="B29" s="1">
        <f t="shared" si="5"/>
        <v>16</v>
      </c>
      <c r="C29" s="2">
        <v>1</v>
      </c>
      <c r="D29" s="3" t="s">
        <v>17</v>
      </c>
      <c r="E29" s="2">
        <v>3</v>
      </c>
      <c r="F29" s="5" t="s">
        <v>68</v>
      </c>
      <c r="G29" s="10" t="s">
        <v>69</v>
      </c>
      <c r="H29" s="3"/>
      <c r="I29" s="3"/>
      <c r="J29" s="3"/>
    </row>
    <row r="30" spans="2:10" ht="229.5" x14ac:dyDescent="0.25">
      <c r="B30" s="1">
        <f t="shared" si="5"/>
        <v>17</v>
      </c>
      <c r="C30" s="2">
        <v>1</v>
      </c>
      <c r="D30" s="3" t="s">
        <v>17</v>
      </c>
      <c r="E30" s="2">
        <v>4</v>
      </c>
      <c r="F30" s="5" t="s">
        <v>70</v>
      </c>
      <c r="G30" s="10" t="s">
        <v>14</v>
      </c>
      <c r="H30" s="3" t="s">
        <v>12</v>
      </c>
      <c r="I30" s="3" t="s">
        <v>13</v>
      </c>
      <c r="J30" s="3" t="s">
        <v>16</v>
      </c>
    </row>
    <row r="31" spans="2:10" ht="229.5" x14ac:dyDescent="0.25">
      <c r="B31" s="1">
        <f t="shared" si="5"/>
        <v>18</v>
      </c>
      <c r="C31" s="2">
        <v>1</v>
      </c>
      <c r="D31" s="3" t="s">
        <v>17</v>
      </c>
      <c r="E31" s="2">
        <v>4</v>
      </c>
      <c r="F31" s="5" t="s">
        <v>195</v>
      </c>
      <c r="G31" s="10" t="s">
        <v>15</v>
      </c>
      <c r="H31" s="3" t="s">
        <v>12</v>
      </c>
      <c r="I31" s="3" t="s">
        <v>14</v>
      </c>
      <c r="J31" s="3" t="s">
        <v>16</v>
      </c>
    </row>
    <row r="32" spans="2:10" ht="63.75" x14ac:dyDescent="0.25">
      <c r="B32" s="1">
        <f t="shared" si="5"/>
        <v>19</v>
      </c>
      <c r="C32" s="2">
        <v>2</v>
      </c>
      <c r="D32" s="3" t="s">
        <v>71</v>
      </c>
      <c r="E32" s="2">
        <v>1</v>
      </c>
      <c r="F32" s="5" t="s">
        <v>72</v>
      </c>
      <c r="G32" s="10" t="s">
        <v>73</v>
      </c>
      <c r="H32" s="3"/>
      <c r="I32" s="3"/>
      <c r="J32" s="3"/>
    </row>
    <row r="33" spans="2:10" ht="63.75" x14ac:dyDescent="0.25">
      <c r="B33" s="1">
        <f t="shared" si="5"/>
        <v>20</v>
      </c>
      <c r="C33" s="2">
        <v>2</v>
      </c>
      <c r="D33" s="3" t="s">
        <v>71</v>
      </c>
      <c r="E33" s="2">
        <v>1</v>
      </c>
      <c r="F33" s="5" t="s">
        <v>74</v>
      </c>
      <c r="G33" s="9" t="s">
        <v>75</v>
      </c>
      <c r="H33" s="7" t="s">
        <v>76</v>
      </c>
      <c r="I33" s="7" t="s">
        <v>77</v>
      </c>
      <c r="J33" s="7" t="s">
        <v>78</v>
      </c>
    </row>
    <row r="34" spans="2:10" ht="63.75" x14ac:dyDescent="0.25">
      <c r="B34" s="1">
        <f t="shared" si="5"/>
        <v>21</v>
      </c>
      <c r="C34" s="2">
        <v>2</v>
      </c>
      <c r="D34" s="3" t="s">
        <v>71</v>
      </c>
      <c r="E34" s="2">
        <v>1</v>
      </c>
      <c r="F34" s="5" t="s">
        <v>79</v>
      </c>
      <c r="G34" s="10" t="s">
        <v>80</v>
      </c>
      <c r="H34" s="3" t="s">
        <v>81</v>
      </c>
      <c r="I34" s="3" t="s">
        <v>82</v>
      </c>
      <c r="J34" s="3" t="s">
        <v>83</v>
      </c>
    </row>
    <row r="35" spans="2:10" ht="63.75" x14ac:dyDescent="0.25">
      <c r="B35" s="1">
        <f t="shared" si="5"/>
        <v>22</v>
      </c>
      <c r="C35" s="2">
        <v>2</v>
      </c>
      <c r="D35" s="3" t="s">
        <v>71</v>
      </c>
      <c r="E35" s="2">
        <v>1</v>
      </c>
      <c r="F35" s="5" t="s">
        <v>84</v>
      </c>
      <c r="G35" s="10" t="s">
        <v>85</v>
      </c>
      <c r="H35" s="3" t="s">
        <v>86</v>
      </c>
      <c r="I35" s="3" t="s">
        <v>87</v>
      </c>
      <c r="J35" s="3" t="s">
        <v>88</v>
      </c>
    </row>
    <row r="36" spans="2:10" ht="63.75" x14ac:dyDescent="0.25">
      <c r="B36" s="1">
        <f>ROW()-ROW($B$13)</f>
        <v>23</v>
      </c>
      <c r="C36" s="2">
        <v>2</v>
      </c>
      <c r="D36" s="3" t="s">
        <v>71</v>
      </c>
      <c r="E36" s="2">
        <v>1</v>
      </c>
      <c r="F36" s="5" t="s">
        <v>89</v>
      </c>
      <c r="G36" s="9" t="s">
        <v>90</v>
      </c>
      <c r="H36" s="7" t="s">
        <v>91</v>
      </c>
      <c r="I36" s="7" t="s">
        <v>92</v>
      </c>
      <c r="J36" s="7" t="s">
        <v>93</v>
      </c>
    </row>
    <row r="37" spans="2:10" ht="63.75" x14ac:dyDescent="0.25">
      <c r="B37" s="1">
        <f t="shared" ref="B37:B56" si="6">ROW()-ROW($B$13)</f>
        <v>24</v>
      </c>
      <c r="C37" s="2">
        <v>2</v>
      </c>
      <c r="D37" s="3" t="s">
        <v>71</v>
      </c>
      <c r="E37" s="2">
        <v>1</v>
      </c>
      <c r="F37" s="5" t="s">
        <v>94</v>
      </c>
      <c r="G37" s="10" t="s">
        <v>95</v>
      </c>
      <c r="H37" s="3"/>
      <c r="I37" s="3"/>
      <c r="J37" s="3"/>
    </row>
    <row r="38" spans="2:10" ht="63.75" x14ac:dyDescent="0.25">
      <c r="B38" s="1">
        <f t="shared" si="6"/>
        <v>25</v>
      </c>
      <c r="C38" s="2">
        <v>2</v>
      </c>
      <c r="D38" s="3" t="s">
        <v>71</v>
      </c>
      <c r="E38" s="2">
        <v>2</v>
      </c>
      <c r="F38" s="5" t="s">
        <v>96</v>
      </c>
      <c r="G38" s="10" t="s">
        <v>97</v>
      </c>
      <c r="H38" s="3"/>
      <c r="I38" s="3"/>
      <c r="J38" s="3"/>
    </row>
    <row r="39" spans="2:10" ht="63.75" x14ac:dyDescent="0.25">
      <c r="B39" s="1">
        <f t="shared" si="6"/>
        <v>26</v>
      </c>
      <c r="C39" s="2">
        <v>2</v>
      </c>
      <c r="D39" s="3" t="s">
        <v>71</v>
      </c>
      <c r="E39" s="2">
        <v>2</v>
      </c>
      <c r="F39" s="5" t="s">
        <v>98</v>
      </c>
      <c r="G39" s="10" t="s">
        <v>99</v>
      </c>
      <c r="H39" s="3" t="s">
        <v>100</v>
      </c>
      <c r="I39" s="3" t="s">
        <v>101</v>
      </c>
      <c r="J39" s="3" t="s">
        <v>102</v>
      </c>
    </row>
    <row r="40" spans="2:10" ht="63.75" x14ac:dyDescent="0.25">
      <c r="B40" s="1">
        <f t="shared" si="6"/>
        <v>27</v>
      </c>
      <c r="C40" s="2">
        <v>2</v>
      </c>
      <c r="D40" s="3" t="s">
        <v>71</v>
      </c>
      <c r="E40" s="2">
        <v>2</v>
      </c>
      <c r="F40" s="5" t="s">
        <v>103</v>
      </c>
      <c r="G40" s="10" t="s">
        <v>104</v>
      </c>
      <c r="H40" s="3" t="s">
        <v>105</v>
      </c>
      <c r="I40" s="3" t="s">
        <v>106</v>
      </c>
      <c r="J40" s="3" t="s">
        <v>107</v>
      </c>
    </row>
    <row r="41" spans="2:10" ht="63.75" x14ac:dyDescent="0.25">
      <c r="B41" s="1">
        <f t="shared" si="6"/>
        <v>28</v>
      </c>
      <c r="C41" s="2">
        <v>2</v>
      </c>
      <c r="D41" s="3" t="s">
        <v>71</v>
      </c>
      <c r="E41" s="2">
        <v>2</v>
      </c>
      <c r="F41" s="5" t="s">
        <v>108</v>
      </c>
      <c r="G41" s="10" t="s">
        <v>109</v>
      </c>
      <c r="H41" s="3"/>
      <c r="I41" s="3"/>
      <c r="J41" s="3"/>
    </row>
    <row r="42" spans="2:10" ht="63.75" x14ac:dyDescent="0.25">
      <c r="B42" s="1">
        <f t="shared" si="6"/>
        <v>29</v>
      </c>
      <c r="C42" s="2">
        <v>2</v>
      </c>
      <c r="D42" s="3" t="s">
        <v>71</v>
      </c>
      <c r="E42" s="2">
        <v>2</v>
      </c>
      <c r="F42" s="5" t="s">
        <v>110</v>
      </c>
      <c r="G42" s="10" t="s">
        <v>111</v>
      </c>
      <c r="H42" s="3" t="s">
        <v>112</v>
      </c>
      <c r="I42" s="3" t="s">
        <v>113</v>
      </c>
      <c r="J42" s="3" t="s">
        <v>114</v>
      </c>
    </row>
    <row r="43" spans="2:10" ht="63.75" x14ac:dyDescent="0.25">
      <c r="B43" s="1">
        <f t="shared" si="6"/>
        <v>30</v>
      </c>
      <c r="C43" s="2">
        <v>2</v>
      </c>
      <c r="D43" s="3" t="s">
        <v>71</v>
      </c>
      <c r="E43" s="2">
        <v>2</v>
      </c>
      <c r="F43" s="5" t="s">
        <v>115</v>
      </c>
      <c r="G43" s="10" t="s">
        <v>116</v>
      </c>
      <c r="H43" s="3" t="s">
        <v>117</v>
      </c>
      <c r="I43" s="3" t="s">
        <v>118</v>
      </c>
      <c r="J43" s="3" t="s">
        <v>119</v>
      </c>
    </row>
    <row r="44" spans="2:10" ht="63.75" x14ac:dyDescent="0.25">
      <c r="B44" s="1">
        <f t="shared" si="6"/>
        <v>31</v>
      </c>
      <c r="C44" s="2">
        <v>2</v>
      </c>
      <c r="D44" s="3" t="s">
        <v>71</v>
      </c>
      <c r="E44" s="2">
        <v>3</v>
      </c>
      <c r="F44" s="5" t="s">
        <v>120</v>
      </c>
      <c r="G44" s="11" t="s">
        <v>121</v>
      </c>
      <c r="H44" s="8"/>
      <c r="I44" s="8"/>
      <c r="J44" s="8"/>
    </row>
    <row r="45" spans="2:10" ht="63.75" x14ac:dyDescent="0.25">
      <c r="B45" s="1">
        <f t="shared" si="6"/>
        <v>32</v>
      </c>
      <c r="C45" s="2">
        <v>2</v>
      </c>
      <c r="D45" s="3" t="s">
        <v>71</v>
      </c>
      <c r="E45" s="2">
        <v>3</v>
      </c>
      <c r="F45" s="5" t="s">
        <v>122</v>
      </c>
      <c r="G45" s="11" t="s">
        <v>123</v>
      </c>
      <c r="H45" s="8"/>
      <c r="I45" s="8"/>
      <c r="J45" s="8"/>
    </row>
    <row r="46" spans="2:10" ht="76.5" x14ac:dyDescent="0.25">
      <c r="B46" s="1">
        <f t="shared" si="6"/>
        <v>33</v>
      </c>
      <c r="C46" s="2">
        <v>2</v>
      </c>
      <c r="D46" s="3" t="s">
        <v>71</v>
      </c>
      <c r="E46" s="2">
        <v>3</v>
      </c>
      <c r="F46" s="5" t="s">
        <v>125</v>
      </c>
      <c r="G46" s="11" t="s">
        <v>126</v>
      </c>
      <c r="H46" s="8" t="s">
        <v>127</v>
      </c>
      <c r="I46" s="8" t="s">
        <v>128</v>
      </c>
      <c r="J46" s="8" t="s">
        <v>129</v>
      </c>
    </row>
    <row r="47" spans="2:10" ht="76.5" x14ac:dyDescent="0.25">
      <c r="B47" s="1">
        <f t="shared" si="6"/>
        <v>34</v>
      </c>
      <c r="C47" s="2">
        <v>2</v>
      </c>
      <c r="D47" s="3" t="s">
        <v>71</v>
      </c>
      <c r="E47" s="2">
        <v>3</v>
      </c>
      <c r="F47" s="5" t="s">
        <v>130</v>
      </c>
      <c r="G47" s="11" t="s">
        <v>131</v>
      </c>
      <c r="H47" s="8" t="s">
        <v>132</v>
      </c>
      <c r="I47" s="8" t="s">
        <v>133</v>
      </c>
      <c r="J47" s="8" t="s">
        <v>134</v>
      </c>
    </row>
    <row r="48" spans="2:10" ht="89.25" x14ac:dyDescent="0.25">
      <c r="B48" s="1">
        <f t="shared" si="6"/>
        <v>35</v>
      </c>
      <c r="C48" s="2">
        <v>2</v>
      </c>
      <c r="D48" s="3" t="s">
        <v>71</v>
      </c>
      <c r="E48" s="2">
        <v>3</v>
      </c>
      <c r="F48" s="5" t="s">
        <v>135</v>
      </c>
      <c r="G48" s="10" t="s">
        <v>136</v>
      </c>
      <c r="H48" s="3" t="s">
        <v>137</v>
      </c>
      <c r="I48" s="3" t="s">
        <v>138</v>
      </c>
      <c r="J48" s="3" t="s">
        <v>139</v>
      </c>
    </row>
    <row r="49" spans="2:10" ht="114.75" x14ac:dyDescent="0.25">
      <c r="B49" s="1">
        <f t="shared" si="6"/>
        <v>36</v>
      </c>
      <c r="C49" s="2">
        <v>2</v>
      </c>
      <c r="D49" s="3" t="s">
        <v>71</v>
      </c>
      <c r="E49" s="2">
        <v>4</v>
      </c>
      <c r="F49" s="5" t="s">
        <v>140</v>
      </c>
      <c r="G49" s="10" t="s">
        <v>141</v>
      </c>
      <c r="H49" s="3" t="s">
        <v>142</v>
      </c>
      <c r="I49" s="3" t="s">
        <v>143</v>
      </c>
      <c r="J49" s="3" t="s">
        <v>144</v>
      </c>
    </row>
    <row r="50" spans="2:10" ht="280.5" x14ac:dyDescent="0.25">
      <c r="B50" s="1">
        <f t="shared" si="6"/>
        <v>37</v>
      </c>
      <c r="C50" s="2">
        <v>2</v>
      </c>
      <c r="D50" s="3" t="s">
        <v>71</v>
      </c>
      <c r="E50" s="2">
        <v>4</v>
      </c>
      <c r="F50" s="5" t="s">
        <v>145</v>
      </c>
      <c r="G50" s="10" t="s">
        <v>15</v>
      </c>
      <c r="H50" s="3" t="s">
        <v>12</v>
      </c>
      <c r="I50" s="3" t="s">
        <v>14</v>
      </c>
      <c r="J50" s="3" t="s">
        <v>16</v>
      </c>
    </row>
    <row r="51" spans="2:10" ht="63.75" x14ac:dyDescent="0.25">
      <c r="B51" s="1">
        <f t="shared" si="6"/>
        <v>38</v>
      </c>
      <c r="C51" s="2">
        <v>3</v>
      </c>
      <c r="D51" s="3" t="s">
        <v>124</v>
      </c>
      <c r="E51" s="2">
        <v>1</v>
      </c>
      <c r="F51" s="5" t="s">
        <v>146</v>
      </c>
      <c r="G51" s="10" t="s">
        <v>147</v>
      </c>
      <c r="H51" s="3"/>
      <c r="I51" s="3"/>
      <c r="J51" s="3"/>
    </row>
    <row r="52" spans="2:10" ht="63.75" x14ac:dyDescent="0.25">
      <c r="B52" s="1">
        <f t="shared" si="6"/>
        <v>39</v>
      </c>
      <c r="C52" s="2">
        <v>3</v>
      </c>
      <c r="D52" s="3" t="s">
        <v>124</v>
      </c>
      <c r="E52" s="2">
        <v>1</v>
      </c>
      <c r="F52" s="5" t="s">
        <v>148</v>
      </c>
      <c r="G52" s="10" t="s">
        <v>149</v>
      </c>
      <c r="H52" s="3" t="s">
        <v>150</v>
      </c>
      <c r="I52" s="3" t="s">
        <v>151</v>
      </c>
      <c r="J52" s="3" t="s">
        <v>152</v>
      </c>
    </row>
    <row r="53" spans="2:10" ht="63.75" x14ac:dyDescent="0.25">
      <c r="B53" s="1">
        <f t="shared" si="6"/>
        <v>40</v>
      </c>
      <c r="C53" s="2">
        <v>3</v>
      </c>
      <c r="D53" s="3" t="s">
        <v>124</v>
      </c>
      <c r="E53" s="2">
        <v>1</v>
      </c>
      <c r="F53" s="5" t="s">
        <v>153</v>
      </c>
      <c r="G53" s="10" t="s">
        <v>154</v>
      </c>
      <c r="H53" s="3" t="s">
        <v>155</v>
      </c>
      <c r="I53" s="3" t="s">
        <v>156</v>
      </c>
      <c r="J53" s="3" t="s">
        <v>157</v>
      </c>
    </row>
    <row r="54" spans="2:10" ht="63.75" x14ac:dyDescent="0.25">
      <c r="B54" s="1">
        <f t="shared" si="6"/>
        <v>41</v>
      </c>
      <c r="C54" s="2">
        <v>3</v>
      </c>
      <c r="D54" s="3" t="s">
        <v>124</v>
      </c>
      <c r="E54" s="2">
        <v>2</v>
      </c>
      <c r="F54" s="5" t="s">
        <v>158</v>
      </c>
      <c r="G54" s="9" t="s">
        <v>159</v>
      </c>
      <c r="H54" s="7" t="s">
        <v>160</v>
      </c>
      <c r="I54" s="7" t="s">
        <v>161</v>
      </c>
      <c r="J54" s="7"/>
    </row>
    <row r="55" spans="2:10" ht="63.75" x14ac:dyDescent="0.25">
      <c r="B55" s="1">
        <f t="shared" si="6"/>
        <v>42</v>
      </c>
      <c r="C55" s="2">
        <v>3</v>
      </c>
      <c r="D55" s="3" t="s">
        <v>124</v>
      </c>
      <c r="E55" s="2">
        <v>2</v>
      </c>
      <c r="F55" s="5" t="s">
        <v>162</v>
      </c>
      <c r="G55" s="10" t="s">
        <v>163</v>
      </c>
      <c r="H55" s="3" t="s">
        <v>164</v>
      </c>
      <c r="I55" s="3"/>
      <c r="J55" s="3"/>
    </row>
    <row r="56" spans="2:10" ht="63.75" x14ac:dyDescent="0.25">
      <c r="B56" s="1">
        <f t="shared" si="6"/>
        <v>43</v>
      </c>
      <c r="C56" s="2">
        <v>3</v>
      </c>
      <c r="D56" s="3" t="s">
        <v>124</v>
      </c>
      <c r="E56" s="2">
        <v>2</v>
      </c>
      <c r="F56" s="5" t="s">
        <v>165</v>
      </c>
      <c r="G56" s="10" t="s">
        <v>166</v>
      </c>
      <c r="H56" s="3" t="s">
        <v>167</v>
      </c>
      <c r="I56" s="3" t="s">
        <v>168</v>
      </c>
      <c r="J56" s="3" t="s">
        <v>169</v>
      </c>
    </row>
    <row r="57" spans="2:10" ht="63.75" x14ac:dyDescent="0.25">
      <c r="B57" s="1">
        <f>ROW()-ROW($B$13)</f>
        <v>44</v>
      </c>
      <c r="C57" s="2">
        <v>3</v>
      </c>
      <c r="D57" s="3" t="s">
        <v>124</v>
      </c>
      <c r="E57" s="2">
        <v>2</v>
      </c>
      <c r="F57" s="5" t="s">
        <v>170</v>
      </c>
      <c r="G57" s="9" t="s">
        <v>171</v>
      </c>
      <c r="H57" s="7" t="s">
        <v>172</v>
      </c>
      <c r="I57" s="7" t="s">
        <v>173</v>
      </c>
      <c r="J57" s="7" t="s">
        <v>174</v>
      </c>
    </row>
    <row r="58" spans="2:10" ht="63.75" x14ac:dyDescent="0.25">
      <c r="B58" s="1">
        <f t="shared" ref="B58:B63" si="7">ROW()-ROW($B$13)</f>
        <v>45</v>
      </c>
      <c r="C58" s="2">
        <v>3</v>
      </c>
      <c r="D58" s="3" t="s">
        <v>124</v>
      </c>
      <c r="E58" s="2">
        <v>2</v>
      </c>
      <c r="F58" s="5" t="s">
        <v>175</v>
      </c>
      <c r="G58" s="10" t="s">
        <v>176</v>
      </c>
      <c r="H58" s="3"/>
      <c r="I58" s="3"/>
      <c r="J58" s="3"/>
    </row>
    <row r="59" spans="2:10" ht="63.75" x14ac:dyDescent="0.25">
      <c r="B59" s="1">
        <f t="shared" si="7"/>
        <v>46</v>
      </c>
      <c r="C59" s="2">
        <v>3</v>
      </c>
      <c r="D59" s="3" t="s">
        <v>124</v>
      </c>
      <c r="E59" s="2">
        <v>2</v>
      </c>
      <c r="F59" s="5" t="s">
        <v>177</v>
      </c>
      <c r="G59" s="10" t="s">
        <v>178</v>
      </c>
      <c r="H59" s="3"/>
      <c r="I59" s="3"/>
      <c r="J59" s="3"/>
    </row>
    <row r="60" spans="2:10" ht="204" x14ac:dyDescent="0.25">
      <c r="B60" s="1">
        <f t="shared" si="7"/>
        <v>47</v>
      </c>
      <c r="C60" s="2">
        <v>3</v>
      </c>
      <c r="D60" s="3" t="s">
        <v>124</v>
      </c>
      <c r="E60" s="2">
        <v>3</v>
      </c>
      <c r="F60" s="5" t="s">
        <v>179</v>
      </c>
      <c r="G60" s="10" t="s">
        <v>16</v>
      </c>
      <c r="H60" s="3" t="s">
        <v>12</v>
      </c>
      <c r="I60" s="3" t="s">
        <v>13</v>
      </c>
      <c r="J60" s="3" t="s">
        <v>14</v>
      </c>
    </row>
    <row r="61" spans="2:10" ht="204" x14ac:dyDescent="0.25">
      <c r="B61" s="1">
        <f t="shared" si="7"/>
        <v>48</v>
      </c>
      <c r="C61" s="2">
        <v>3</v>
      </c>
      <c r="D61" s="3" t="s">
        <v>124</v>
      </c>
      <c r="E61" s="2">
        <v>3</v>
      </c>
      <c r="F61" s="5" t="s">
        <v>180</v>
      </c>
      <c r="G61" s="10" t="s">
        <v>181</v>
      </c>
      <c r="H61" s="3" t="s">
        <v>182</v>
      </c>
      <c r="I61" s="3" t="s">
        <v>183</v>
      </c>
      <c r="J61" s="3" t="s">
        <v>184</v>
      </c>
    </row>
    <row r="62" spans="2:10" ht="114.75" x14ac:dyDescent="0.25">
      <c r="B62" s="1">
        <f t="shared" si="7"/>
        <v>49</v>
      </c>
      <c r="C62" s="2">
        <v>3</v>
      </c>
      <c r="D62" s="3" t="s">
        <v>124</v>
      </c>
      <c r="E62" s="2">
        <v>4</v>
      </c>
      <c r="F62" s="5" t="s">
        <v>185</v>
      </c>
      <c r="G62" s="10" t="s">
        <v>186</v>
      </c>
      <c r="H62" s="3" t="s">
        <v>187</v>
      </c>
      <c r="I62" s="3" t="s">
        <v>188</v>
      </c>
      <c r="J62" s="3" t="s">
        <v>189</v>
      </c>
    </row>
    <row r="63" spans="2:10" ht="114.75" x14ac:dyDescent="0.25">
      <c r="B63" s="1">
        <f t="shared" si="7"/>
        <v>50</v>
      </c>
      <c r="C63" s="2">
        <v>3</v>
      </c>
      <c r="D63" s="3" t="s">
        <v>124</v>
      </c>
      <c r="E63" s="2">
        <v>4</v>
      </c>
      <c r="F63" s="5" t="s">
        <v>190</v>
      </c>
      <c r="G63" s="10" t="s">
        <v>191</v>
      </c>
      <c r="H63" s="3" t="s">
        <v>192</v>
      </c>
      <c r="I63" s="3" t="s">
        <v>193</v>
      </c>
      <c r="J63" s="3" t="s">
        <v>194</v>
      </c>
    </row>
  </sheetData>
  <autoFilter ref="B13:M63" xr:uid="{B005C0B0-9D89-4729-AC6E-7F1010ED0730}"/>
  <mergeCells count="6">
    <mergeCell ref="F11:F12"/>
    <mergeCell ref="G11:J11"/>
    <mergeCell ref="B11:B12"/>
    <mergeCell ref="C11:C12"/>
    <mergeCell ref="D11:D12"/>
    <mergeCell ref="E11:E12"/>
  </mergeCells>
  <conditionalFormatting sqref="F6:H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docMetadata/LabelInfo.xml><?xml version="1.0" encoding="utf-8"?>
<clbl:labelList xmlns:clbl="http://schemas.microsoft.com/office/2020/mipLabelMetadata">
  <clbl:label id="{732535c9-f902-4625-a19b-ab6863a159e8}" enabled="1" method="Privileged" siteId="{8bc01b57-838e-4194-982d-4c58278d0de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Nong Thi Huong</dc:creator>
  <cp:lastModifiedBy>Luan, Nguyen Thanh Luan</cp:lastModifiedBy>
  <cp:lastPrinted>2025-07-01T12:17:07Z</cp:lastPrinted>
  <dcterms:created xsi:type="dcterms:W3CDTF">2025-07-01T11:38:19Z</dcterms:created>
  <dcterms:modified xsi:type="dcterms:W3CDTF">2026-10-02T02:32:03Z</dcterms:modified>
</cp:coreProperties>
</file>