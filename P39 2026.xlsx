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Tài liệu\DGNL\DGNL-2026 2\DGNL-2026\"/>
    </mc:Choice>
  </mc:AlternateContent>
  <xr:revisionPtr revIDLastSave="0" documentId="13_ncr:1_{9DE79061-1F0F-4DF5-91EF-64F89D0AC1F5}" xr6:coauthVersionLast="47" xr6:coauthVersionMax="47" xr10:uidLastSave="{00000000-0000-0000-0000-000000000000}"/>
  <bookViews>
    <workbookView xWindow="-120" yWindow="-120" windowWidth="29040" windowHeight="15720" xr2:uid="{0A323993-6B0E-4465-9440-DABB234748ED}"/>
  </bookViews>
  <sheets>
    <sheet name="P21" sheetId="1" r:id="rId1"/>
  </sheets>
  <definedNames>
    <definedName name="_xlnm._FilterDatabase" localSheetId="0" hidden="1">'P21'!$B$13:$M$85</definedName>
    <definedName name="_xlnm.Print_Area" localSheetId="0">'P21'!$B$1:$L$61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4" i="1" l="1"/>
  <c r="B33" i="1"/>
  <c r="B32" i="1"/>
  <c r="B31" i="1"/>
  <c r="B30" i="1"/>
  <c r="B29" i="1"/>
  <c r="B28" i="1"/>
  <c r="B27" i="1"/>
  <c r="B26" i="1"/>
  <c r="B25" i="1"/>
  <c r="B24" i="1"/>
  <c r="B23" i="1"/>
  <c r="B22" i="1"/>
  <c r="B21" i="1"/>
  <c r="B20" i="1"/>
  <c r="B19" i="1"/>
  <c r="B18" i="1"/>
  <c r="B17" i="1"/>
  <c r="B16" i="1"/>
  <c r="B15" i="1"/>
  <c r="B14" i="1"/>
  <c r="B55" i="1"/>
  <c r="B54" i="1"/>
  <c r="B53" i="1"/>
  <c r="B52" i="1"/>
  <c r="B51" i="1"/>
  <c r="B50" i="1"/>
  <c r="B49" i="1"/>
  <c r="B48" i="1"/>
  <c r="B47" i="1"/>
  <c r="B46" i="1"/>
  <c r="B45" i="1"/>
  <c r="B44" i="1"/>
  <c r="B43" i="1"/>
  <c r="B42" i="1"/>
  <c r="B41" i="1"/>
  <c r="B40" i="1"/>
  <c r="B39" i="1"/>
  <c r="B38" i="1"/>
  <c r="B37" i="1"/>
  <c r="B36" i="1"/>
  <c r="B35" i="1"/>
  <c r="B61" i="1"/>
  <c r="B60" i="1"/>
  <c r="B59" i="1"/>
  <c r="B58" i="1"/>
  <c r="B57" i="1"/>
  <c r="B56" i="1"/>
  <c r="C13" i="1"/>
  <c r="D13" i="1"/>
  <c r="E13" i="1"/>
  <c r="F6" i="1" s="1"/>
  <c r="F13" i="1"/>
  <c r="G13" i="1"/>
  <c r="H13" i="1"/>
  <c r="I13" i="1"/>
  <c r="J13" i="1"/>
  <c r="B13" i="1"/>
  <c r="F9" i="1" l="1"/>
  <c r="G9" i="1"/>
  <c r="H9" i="1"/>
  <c r="F7" i="1"/>
  <c r="G7" i="1"/>
  <c r="H7" i="1"/>
  <c r="F8" i="1"/>
  <c r="G8" i="1"/>
  <c r="H8" i="1"/>
  <c r="G6" i="1"/>
  <c r="H6" i="1"/>
  <c r="E9" i="1"/>
  <c r="E8" i="1" l="1"/>
  <c r="E7" i="1"/>
  <c r="E6" i="1"/>
  <c r="G5" i="1"/>
  <c r="F5" i="1"/>
  <c r="H5" i="1"/>
  <c r="E5" i="1"/>
</calcChain>
</file>

<file path=xl/sharedStrings.xml><?xml version="1.0" encoding="utf-8"?>
<sst xmlns="http://schemas.openxmlformats.org/spreadsheetml/2006/main" count="299" uniqueCount="237">
  <si>
    <t>STT</t>
  </si>
  <si>
    <t>Mã khía cạnh</t>
  </si>
  <si>
    <t>Khía cạnh</t>
  </si>
  <si>
    <t>Cấp độ</t>
  </si>
  <si>
    <t>Đáp án đúng</t>
  </si>
  <si>
    <t>Phương án sai  1</t>
  </si>
  <si>
    <t>Phương án sai 2</t>
  </si>
  <si>
    <t>Phương án sai 3</t>
  </si>
  <si>
    <t>Câu hỏi</t>
  </si>
  <si>
    <t>Đáp án</t>
  </si>
  <si>
    <t xml:space="preserve">                        Khía cạnh
   Cấp độ                    </t>
  </si>
  <si>
    <t>TỔNG</t>
  </si>
  <si>
    <t>Lịch sử và các giá trị của Công ty: Kiến thức về lịch sử hình thành, tầm nhìn, sứ mệnh, giá trị cốt lõi</t>
  </si>
  <si>
    <t>Công ty Cổ phần Thanh toán Quốc gia Việt Nam (Napas) hiện hoạt động chủ yếu trong lĩnh vực nào?</t>
  </si>
  <si>
    <t>Cung cấp các giải pháp trung gian thanh toán và hạ tầng thanh toán bán lẻ quốc gia</t>
  </si>
  <si>
    <t>Cung cấp dịch vụ thanh toán quốc tế và quản lý dự trữ ngoại tệ cho ngân hàng trung ương</t>
  </si>
  <si>
    <t>Phát triển các ứng dụng ngân hàng số và dịch vụ quản lý tài chính cá nhân cho người tiêu dùng</t>
  </si>
  <si>
    <t>Điều hành chính sách tiền tệ và giám sát hoạt động của các tổ chức tín dụng trong hệ thống ngân hàng</t>
  </si>
  <si>
    <t>Lý tưởng mà NAPAS hướng tới là gì?</t>
  </si>
  <si>
    <t>Vì một xã hội không tiền mặt</t>
  </si>
  <si>
    <t>Vì một Việt Nam phát triển bền vững</t>
  </si>
  <si>
    <t>Vì một hệ thống ngân hàng hiện đại</t>
  </si>
  <si>
    <t>Vì một cộng đồng tài chính số</t>
  </si>
  <si>
    <t>Sự kiện nào là bước ngoặt trong lịch sử phát triển của NAPAS vào năm 2015?</t>
  </si>
  <si>
    <t>Banknetvn hoàn thành công tác sáp nhập với Công ty Cổ phần Dịch vụ thẻ Smartlink</t>
  </si>
  <si>
    <t>Được niêm yết trên sàn chứng khoán</t>
  </si>
  <si>
    <t>Được cấp phép phát hành thẻ quốc tế</t>
  </si>
  <si>
    <t>Mở rộng hoạt động sang lĩnh vực viễn thông</t>
  </si>
  <si>
    <t>Tầm nhìn của Công ty Napas hướng tới điều gì?</t>
  </si>
  <si>
    <t>Trở thành mạng lưới thanh toán bán lẻ đáng tin cậy nhất</t>
  </si>
  <si>
    <t>Trở thành ngân hàng trung ương kỹ thuật số của Việt Nam</t>
  </si>
  <si>
    <t>Dẫn đầu trong sản xuất thẻ chip nội địa và thiết bị thanh toán</t>
  </si>
  <si>
    <t>Mở rộng ra thị trường Đông Nam Á trong lĩnh vực đầu tư tài chính</t>
  </si>
  <si>
    <t>Đâu là một trong những ưu tiên trọng tâm ngắn hạn trong chiến lược phát triển của Napas?</t>
  </si>
  <si>
    <t>Phát triển nền tảng thanh toán QR code nội địa, hướng đến đồng bộ toàn quốc</t>
  </si>
  <si>
    <t>Trở thành mạng lưới thanh toán bán lẻ đáng tin cậy nhất tại khu vực Đông Nam Á</t>
  </si>
  <si>
    <t>Xây dựng văn hóa chia sẻ giữa các doanh nghiệp công nghệ tài chính Việt Nam</t>
  </si>
  <si>
    <t>Thay thế hoàn toàn thẻ từ bằng thẻ chip nội địa trong 3 tháng tới trên toàn quốc</t>
  </si>
  <si>
    <t>Mối liên hệ nào sau đây giữa sứ mệnh và mục tiêu cụ thể của NAPAS là hợp lý nhất?</t>
  </si>
  <si>
    <t>Sứ mệnh cung cấp dịch vụ thanh toán sáng tạo - Mục tiêu phát triển API Hub kết nối ngân hàng và trung gian thanh toán</t>
  </si>
  <si>
    <t>Sứ mệnh thúc đẩy hợp tác quốc tế - Mục tiêu kết nối với tổ chức BC Card (Hàn Quốc)</t>
  </si>
  <si>
    <t>Sứ mệnh đảm bảo lợi nhuận cổ đông - Mục tiêu tăng trưởng lợi nhuận bình quân 53%/năm</t>
  </si>
  <si>
    <t>Sứ mệnh phục vụ cơ quan quản lý nhà nước - Mục tiêu xây dựng văn hóa doanh nghiệp và cải thiện quy trình nội bộ</t>
  </si>
  <si>
    <t>Mối liên hệ nào sau đây giữa sứ mệnh và mục tiêu cụ thể của NAPAS là hợp lý nhất?
1. Tăng cường an ninh bảo mật giúp củng cố niềm tin của ngươi dùng vào hệ thống thanh toán điện tử từ đó thúc đẩy sự phát triển của thanh toán không dùng tiền mặt.
2. Mở rộng mạng lưới chấp nhận thanh toán từ đó cung cấp các giải pháp thanh toán đa dạng và tiện lợi cho các đơn vị chấp nhận thanh toán.
3. Đa dạng hóa các sản phẩm dịch vụ để đáp ứng nhu cầu đa dạng của người dùng từ đó tăng cường an ninh bảo mật cho các giao dịch thanh toán</t>
  </si>
  <si>
    <t>Cả 3 phương án đều đúng</t>
  </si>
  <si>
    <t>Sứ mệnh của NAPAS là “Gắn kết người dân, doanh nghiệp và ngân hàng bằng các sản phẩm thanh toán sáng tạo”. Mục tiêu ngắn hạn nào dưới đây thể hiện đúng tinh thần của sứ mệnh này?</t>
  </si>
  <si>
    <t>Hoạt động xuất sắc và dẫn đầu về sản phẩm dịch vụ</t>
  </si>
  <si>
    <t>Xây dựng thương hiệu quốc tế và mở rộng sang thị trường nước ngoài</t>
  </si>
  <si>
    <t>Chuẩn bị đầu tư phát triển thanh toán bằng sinh trắc học vào giai đoạn 2026–2030</t>
  </si>
  <si>
    <t>Thúc đẩy quá trình chuyển đổi số trong quản trị nội bộ</t>
  </si>
  <si>
    <t>Từ lịch sử hình thành đến nay, Napas đã không ngừng mở rộng vai trò trong hạ tầng thanh toán quốc gia. Điều này phản ánh rõ mối liên hệ giữa:</t>
  </si>
  <si>
    <t>Tầm nhìn dài hạn và cam kết phát triển các dịch vụ thanh toán trung gian không dùng tiền mặt</t>
  </si>
  <si>
    <t>Lịch sử phát triển ban đầu và sự ưu tiên mở rộng mạng lưới chi nhánh vật lý toàn quốc</t>
  </si>
  <si>
    <t>Sứ mệnh cung cấp thẻ tín dụng quốc tế và mục tiêu trở thành ngân hàng bán lẻ đa năng</t>
  </si>
  <si>
    <t>Giá trị sáng tạo và định hướng chuyển thành công ty tư vấn công nghệ tài chính</t>
  </si>
  <si>
    <t>Bạn được giao thuyết trình nội bộ về ý nghĩa giá trị cốt lõi của NAPAS. Để chuẩn bị, Bạn đã tổng hợp một số luận điểm dưới đây. Hãy lựa chọn các luận điểm phản ánh đúng tinh thần các giá trị cốt lõi, đồng thời thể hiện được vai trò của chúng trong thực hiện chiến lược công ty.
(1) "Làm việc nhóm và hợp tác" là yếu tố quyết định trong mọi hoạt động triển khai sản phẩm mới, vì NAPAS cần đồng bộ giữa kỹ thuật – nghiệp vụ – kinh doanh
(2) "Cam kết" thể hiện ở việc giữ lời hứa với khách hàng, nhưng không bắt buộc giữa các phòng ban nội bộ
(3) "Sáng tạo và đổi mới" là nền tảng để NAPAS liên tục cải tiến các dịch vụ như chuyển tiền 24/7, QR, ACH
(4) "Chính trực" giúp duy trì lòng tin từ các ngân hàng thành viên và Ngân hàng Nhà nước – đặc biệt khi NAPAS hoạt động trong lĩnh vực nhạy cảm như thanh toán
(5) Mọi giá trị cốt lõi của NAPAS đều gắn với mục tiêu vận hành ổn định hệ thống và không liên quan đến mục tiêu dẫn đầu về sản phẩm
(6) Giá trị cốt lõi là những yếu tố hình thức dùng trong truyền thông thương hiệu nhưng không ảnh hưởng đến các chỉ số vận hành</t>
  </si>
  <si>
    <t>(1), (3), (4)</t>
  </si>
  <si>
    <t>(1), (2), (5)</t>
  </si>
  <si>
    <t>(2), (3), (6)</t>
  </si>
  <si>
    <t>(3), (5), (6)</t>
  </si>
  <si>
    <t>Chiến lược phát triển Napas trong bối cảnh chuyển đổi số toàn diện ở Việt Nam cần gắn liền với yếu tố nào sau đây?</t>
  </si>
  <si>
    <t>Phát huy vai trò trung gian thanh toán, kết nối hệ sinh thái ngân hàng – dịch vụ công – cộng đồng</t>
  </si>
  <si>
    <t>Tăng cường lợi nhuận bằng việc đẩy mạnh quảng cáo và thương mại hóa dữ liệu người dùng</t>
  </si>
  <si>
    <t>Duy trì quy trình hiện tại để tránh thay đổi, đảm bảo tính ổn định hệ thống</t>
  </si>
  <si>
    <t>Đầu tư vào các sản phẩm tài chính thay vì hạ tầng thanh toán để mở rộng nguồn thu</t>
  </si>
  <si>
    <t>Một đồng nghiệp mới gia nhập công ty và hỏi Anh/Chị: “Tầm nhìn và sứ mệnh của NAPAS khác nhau ở điểm nào? Và chúng có liên quan gì đến mục tiêu ‘hướng tới dẫn đầu về sản phẩm dịch vụ’ được nêu trong chiến lược không?”
Trong số các nội dung dưới đây, đâu là những luận giải chính xác, logic, thể hiện được sự hiểu biết sâu sắc về định hướng chiến lược và giá trị cốt lõi của NAPAS?
(1) Tầm nhìn của NAPAS phản ánh trạng thái tương lai mong muốn – là mạng lưới thanh toán bán lẻ đáng tin cậy nhất
(2) Sứ mệnh nhấn mạnh vai trò kết nối người dân, doanh nghiệp và ngân hàng thông qua các sản phẩm thanh toán sáng tạo
(3) Mục tiêu “dẫn đầu về sản phẩm dịch vụ” liên quan trực tiếp đến giá trị cốt lõi “Chính trực” vì nó đảm bảo độ tin cậy trong cung cấp dịch vụ
(4) Sứ mệnh là phần mô tả cách NAPAS hành động trong hiện tại, còn tầm nhìn là định hướng dài hạn
(5) Tầm nhìn và sứ mệnh đều không thay đổi khi thị trường, khách hàng và công nghệ thay đổi
(6) Chiến lược phát triển sản phẩm mới của NAPAS không phụ thuộc vào sứ mệnh mà chỉ dựa trên thị phần
(7) Tầm nhìn và mục tiêu chiến lược “hướng tới dẫn đầu về sản phẩm dịch vụ” đều nhấn mạnh vị thế trên thị trường, mang tính khát vọng dài hạn</t>
  </si>
  <si>
    <t>(1), (2), (4), (7)</t>
  </si>
  <si>
    <t>(1), (2), (5), (7)</t>
  </si>
  <si>
    <t>(2), (3), (5), (6)</t>
  </si>
  <si>
    <t>(2), (3), (4), (6)</t>
  </si>
  <si>
    <t>Một nhân viên Napas đề xuất xây dựng giải pháp thanh toán không dùng tiền mặt cho thị trường giáo dục vùng sâu. Cách tiếp cận nào phản ánh đúng tầm nhìn và sứ mệnh của Công ty?</t>
  </si>
  <si>
    <t>Tập trung nghiên cứu giải pháp phù hợp để thúc đẩy hạ tầng thanh toán bán lẻ, tăng cường tiếp cận tài chính</t>
  </si>
  <si>
    <t>Phân khúc thị trường có nhiều rủi ro, nên đề xuất chuyển hướng sang thị trường thương mại điện tử lớn</t>
  </si>
  <si>
    <t>Chuyển giao toàn bộ giải pháp cho bên thứ ba vì Napas không trực tiếp phục vụ thị trường ngách</t>
  </si>
  <si>
    <t>Giảm ưu tiên cho thị trường này vì không phù hợp với mục tiêu tăng trưởng doanh thu ngắn hạn</t>
  </si>
  <si>
    <t>Anh/Chị được chọn để đào tạo hội nhập cho nhân viên mới về “Tầm nhìn – Sứ mệnh – Giá trị cốt lõi” của NAPAS. Để truyền cảm hứng một cách sâu sắc, Anh/Chị muốn kết nối các thông điệp chiến lược này với các hành vi cụ thể trong tổ chức. Trong số các phát biểu sau, phát biểu nào thể hiện cách truyền đạt đúng tinh thần, có chiều sâu và dễ lan tỏa trong tổ chức?
(1) “Tầm nhìn là thứ xa vời, nhưng nhiệm vụ của Anh/Chị là làm tốt từng việc nhỏ mỗi ngày thì tự khắc công ty sẽ đạt được điều đó”
(2) “Cam kết không chỉ là giá trị văn hóa, mà là trách nhiệm cá nhân khi chúng ta hứa với đồng nghiệp, đối tác, hay khách hàng”
(3) “Chúng ta sáng tạo là để tạo ra điều mới, còn giữ quy trình cũ là vai trò của phòng nghiệp vụ”
(4) “Tầm nhìn là điều mà Hội đồng Quản trị chịu trách nhiệm, nhân viên không cần quan tâm sâu đến”
(5) “Sứ mệnh không dành cho truyền thông mà cần được lồng ghép vào từng dự án, từng sản phẩm”
(6) “Giá trị cốt lõi ‘chính trực’ nghĩa là đừng nhầm lẫn giữa lòng trung thành và sự mù quáng, mà là dám nói điều đúng”
(7) “Tổ chức có tầm nhìn mạnh mẽ nhưng chỉ cần tập trung KPI cá nhân là đủ đóng góp rồi”</t>
  </si>
  <si>
    <t>(2), (5), (6)</t>
  </si>
  <si>
    <t>(1), (2), (5), (6)</t>
  </si>
  <si>
    <t>(2), (3), (5), (7)</t>
  </si>
  <si>
    <t>(2), (6), (7)</t>
  </si>
  <si>
    <t>Bạn đang tham gia buổi họp chiến lược về sản phẩm mới tại Napas. Phát biểu nào sau đây thể hiện tốt nhất năng lực kết nối sứ mệnh với định hướng hành động?</t>
  </si>
  <si>
    <t>“Chúng ta cần đảm bảo sản phẩm này mở rộng khả năng tiếp cận tài chính cho nhóm khách hàng chưa được phục vụ tốt.”</t>
  </si>
  <si>
    <t>“Chúng ta nên ưu tiên sản phẩm nào có thể mang lại doanh thu cao nhất trong quý này.”</t>
  </si>
  <si>
    <t>“Mục tiêu quan trọng là thuyết phục được nhà đầu tư và chứng minh khả năng sinh lời.”</t>
  </si>
  <si>
    <t>“Chúng ta cần thận trọng để không thay đổi quá nhiều hệ thống hiện tại.”</t>
  </si>
  <si>
    <t>Tổ chức và nguyên tắc vận hành của Công ty: Lĩnh vực kinh doanh, sản phẩm, thị trường, khách hàng trọng tâm…</t>
  </si>
  <si>
    <t>Văn hóa và con người: hiểu và tôn trọng giá trị văn hóa; thúc đẩy sự gắn kết, đồng lòng, và xây dựng di sản văn hóa bền vững</t>
  </si>
  <si>
    <t>Một trưởng nhóm mới được giao nhiệm vụ phổ biến tầm nhìn của Napas cho đội dự án liên phòng ban. Hành động nào sau đây giúp lan tỏa tầm nhìn một cách hiệu quả nhất?</t>
  </si>
  <si>
    <t>Gắn tầm nhìn vào mục tiêu cụ thể trong dự án và khuyến khích thành viên phản ánh qua cách hành xử và quyết định</t>
  </si>
  <si>
    <t>Trình bày lại nguyên văn tầm nhìn trong buổi họp đầu tiên và nhấn mạnh yêu cầu ghi nhớ</t>
  </si>
  <si>
    <t>Giao cho từng thành viên viết bản cam kết thực hiện theo tầm nhìn</t>
  </si>
  <si>
    <t>Yêu cầu bộ phận truyền thông in khẩu hiệu tầm nhìn và dán tại nơi làm việc</t>
  </si>
  <si>
    <t>Trong một buổi họp liên phòng ban về cải tiến sản phẩm thanh toán QR, có một số phát biểu đưa ra về việc “làm sao để giữ tinh thần sứ mệnh và giá trị cốt lõi của NAPAS” trong quá trình triển khai thực tế. Với vai trò là người dẫn dắt văn hóa tổ chức, Bạn cần chọn nhóm phát biểu nào phù hợp để truyền cảm hứng và khơi dậy tinh thần chiến lược xuyên suốt trong nhóm?
(1) “Chúng ta không chỉ đang triển khai kỹ thuật QR mà đang tạo cầu nối thanh toán giữa người dân và hệ sinh thái tài chính số”
(2) “Khó khăn tích hợp giữa ngân hàng – trung gian thanh toán là bình thường, chính sự hợp tác bền vững sẽ là năng lượng gắn kết”
(3) “Chúng ta cần ưu tiên tốc độ tích hợp hơn là kiểm thử an toàn, vì thị trường đang chạy rất nhanh”
(4) “Tôi nghĩ chỉ nên tập trung vào giải pháp kỹ thuật, vì chiến lược và sứ mệnh là câu chuyện của Ban điều hành”
(5) “Cam kết ở đây không phải làm nhiều giờ, mà là giữ đúng lời hứa với khách hàng về độ ổn định và bảo mật”
(6) “Chúng ta làm nhanh cũng được, chậm cũng được, miễn có đủ giấy tờ phê duyệt là xong”
(7) “Giải pháp QR của NAPAS cần mang lại trải nghiệm ‘chạm để kết nối’ – đúng tinh thần sáng tạo, đổi mới của công ty”</t>
  </si>
  <si>
    <t>Giá trị cốt lõi nào sau đây không nằm trong văn hóa của Công ty Napas?</t>
  </si>
  <si>
    <t>Cạnh tranh quyết liệt</t>
  </si>
  <si>
    <t>Làm việc nhóm và hợp tác</t>
  </si>
  <si>
    <t>Chính trực</t>
  </si>
  <si>
    <t>Cam kết</t>
  </si>
  <si>
    <t>Phòng ban nào sau đây chịu trách nhiệm về phát triển sản phẩm tại Napas?</t>
  </si>
  <si>
    <t>Phòng nghiên cứu phát triển sản phẩm</t>
  </si>
  <si>
    <t>Phòng hành chính quản trị</t>
  </si>
  <si>
    <t>Khối kỹ thuật</t>
  </si>
  <si>
    <t>Văn phòng</t>
  </si>
  <si>
    <t>Sản phẩm/dịch vụ nào sau đây của NAPAS có tốc độ tăng trưởng mạnh nhất về số lượng giao dịch giai đoạn 2015 – 2021?</t>
  </si>
  <si>
    <t>Dịch vụ Chuyển mạch nội địa ATM/POS</t>
  </si>
  <si>
    <t>Dịch vụ thanh toán QR Code</t>
  </si>
  <si>
    <t>Dịch vụ cổng thanh toán điện tử (Ecom)</t>
  </si>
  <si>
    <t>Dịch vụ Chuyển nhanh NAPAS 24/7</t>
  </si>
  <si>
    <t>Sản phẩm/dịch vụ nào sau đây KHÔNG phải là sản phẩm/dịch vụ chính của NAPAS?</t>
  </si>
  <si>
    <t>Dịch vụ phát hành thẻ ghi nợ nội địa</t>
  </si>
  <si>
    <t>Dịch vụ chuyển mạch liên ngân hàng 24/7</t>
  </si>
  <si>
    <t>Dịch vụ bù trừ điện tử</t>
  </si>
  <si>
    <t>Dịch vụ cổng thanh toán điện tử</t>
  </si>
  <si>
    <t>Khi triển khai một sản phẩm dịch vụ thanh toán mới cho thị trường ngân hàng, các bộ phận của Napas phối hợp như thế nào để đảm bảo hiệu quả?</t>
  </si>
  <si>
    <t>Khối Kỹ thuật phát triển giải pháp, Khối Kinh doanh tiếp cận khách hàng, và Khối Nghiệp vụ phối hợp đảm bảo các luồng xử lý nghiệp vụ tuân thủ quy định ngành</t>
  </si>
  <si>
    <t>Phòng Kiểm soát tuân thủ xây dựng sản phẩm, Khối Kinh doanh quản lý hệ thống kỹ thuật, Khối Kỹ thuật chịu trách nhiệm chăm sóc khách hàng</t>
  </si>
  <si>
    <t>Khối Nghiên cứu phát triển tự triển khai sản phẩm trực tiếp đến khách hàng mà không cần phối hợp</t>
  </si>
  <si>
    <t>Khối Nghiệp vụ khảo sát thị trường, phát triển sản phẩm và đồng thời phụ trách cả triển khai và truyền thông</t>
  </si>
  <si>
    <t>Tại sao việc hiểu rõ chức năng và mối liên kết giữa các phòng ban là quan trọng đối với nhân viên Napas?</t>
  </si>
  <si>
    <t>Vì điều đó giúp phối hợp hiệu quả hơn trong công việc và đạt mục tiêu chung</t>
  </si>
  <si>
    <t>Vì điều đó giúp mỗi người tập trung vào nhiệm vụ cá nhân và không phụ thuộc vào ai khác</t>
  </si>
  <si>
    <t>Vì điều đó giúp xác định ai là người chịu trách nhiệm khi có sự cố phát sinh</t>
  </si>
  <si>
    <t>Vì điều đó giúp hạn chế việc trao đổi thông tin giữa các phòng ban không liên quan</t>
  </si>
  <si>
    <t>Trong quy trình phát triển sản phẩm mới tại NAPAS, đâu là cách hiểu đúng về vai trò kết nối giữa các bộ phận?</t>
  </si>
  <si>
    <t>Khối Nghiên cứu Phát triển thiết kế sản phẩm, Khối Nghiệp vụ đảm bảo quy trình hoạt động, Khối Kỹ thuật triển khai tích hợp hệ thống</t>
  </si>
  <si>
    <t>Khối Kỹ thuật xây dựng sản phẩm mới, Khối Quản trị triển khai vận hành thử nghiệm, Khối Nghiệp vụ làm tài liệu hướng dẫn sử dụng</t>
  </si>
  <si>
    <t>Khối Nghiệp vụ nghiên cứu thị trường, Khối Quản trị lập kế hoạch ngân sách, Khối Truyền thông xây dựng bộ nhận diện sản phẩm</t>
  </si>
  <si>
    <t>Khối Quản trị vận hành hệ thống, Khối Truyền thông phối hợp xử lý sự cố kỹ thuật, Khối Kinh doanh triển khai phần mềm</t>
  </si>
  <si>
    <t>Khi nhận thấy quy trình phối hợp giữa Khối Kinh doanh và Khối Kỹ thuật chậm trễ do trao đổi không đồng nhất, phương án cải tiến phù hợp là:</t>
  </si>
  <si>
    <t>Phân định lại rõ vai trò từng khối và thiết lập cơ chế trao đổi theo các mốc thời gian cụ thể</t>
  </si>
  <si>
    <t>Yêu cầu các bên sử dụng email thay vì trao đổi trực tiếp để dễ kiểm soát nội dung</t>
  </si>
  <si>
    <t>Giao toàn bộ quyền điều phối cho 1 khối nhằm giảm thiểu xung đột và tăng tính chủ động</t>
  </si>
  <si>
    <t>Tạm ngừng dự án để đánh giá lại năng lực từng cá nhân liên quan</t>
  </si>
  <si>
    <t>Một nhóm nhân sự tại NAPAS được giao đánh giá hiệu quả hoạt động triển khai dịch vụ QR Code nội địa trên toàn quốc. Dưới đây là các kết luận sơ bộ được đưa ra. Đâu là các nhận định phản ánh chính xác thực trạng vận hành liên khối, từ đó có thể làm cơ sở đề xuất cải tiến hợp lý?
(1) Sự phân tách giữa đội ngũ kỹ thuật triển khai và đội ngũ hỗ trợ đối tác khiến xử lý sự cố kéo dài
(2) Việc chưa liên thông dữ liệu thống kê giữa khối Kinh doanh – Nghiệp vụ – Kỹ thuật gây khó khăn khi đánh giá hiệu quả sản phẩm
(3) Nhiều điểm chấp nhận thanh toán chưa được kết nối do chưa có cơ chế liên kết với các đơn vị cung cấp POS
(4) Hành vi người dùng tại vùng nông thôn chưa phù hợp với hình thức QR khiến khó mở rộng thị phần
(5) Chưa có giải pháp truyền thông phối hợp đồng bộ giữa các khối để lan tỏa giá trị sản phẩm QR gắn với hình ảnh thương hiệu
(6) Một số ngân hàng triển khai QR nhưng không sử dụng chuẩn NAPAS nên hệ thống phải tách tuyến xử lý riêng
(7) Các phòng ban trong NAPAS đã sử dụng chung hệ thống dữ liệu theo thời gian thực nên đánh giá được KPI theo từng vùng địa lý</t>
  </si>
  <si>
    <t>(1), (2), (3), (5)</t>
  </si>
  <si>
    <t>(1), (2), (4), (5), (7)</t>
  </si>
  <si>
    <t>(2), (3), (4), (5), (6)</t>
  </si>
  <si>
    <t>Trong dự án triển khai thanh toán QR đa nền tảng, việc Khối Nghiệp vụ phản hồi chậm ảnh hưởng đến tiến độ. Giải pháp nào phù hợp nhất để cải thiện?</t>
  </si>
  <si>
    <t>Sử dụng phần mềm quản lý tác vụ để minh bạch thời hạn và điểm phối hợp giữa các khối</t>
  </si>
  <si>
    <t>Tách riêng khối này ra khỏi quy trình liên thông</t>
  </si>
  <si>
    <t>Tăng áp lực xử lý bằng việc rút ngắn deadline theo chỉ đạo cấp trên</t>
  </si>
  <si>
    <t>Phân công người từ khối khác làm thay phần việc của Khối Nghiệp vụ</t>
  </si>
  <si>
    <t>Trong quá trình phân tích nguyên nhân khiến tỷ lệ tích hợp sản phẩm mới giữa NAPAS và các ngân hàng thành viên còn chậm, một tổ công tác liên phòng đã đưa ra nhiều nhận định. Dưới đây là các nhận định được thảo luận. Đâu là những nguyên nhân cốt lõi cần tập trung cải tiến quy trình để tối ưu hiệu quả hợp tác giữa các bên?
(1) Mỗi ngân hàng có hạ tầng kỹ thuật và cấu trúc vận hành sản phẩm khác nhau
(2) Quy trình phối hợp giữa Khối Nghiệp vụ và Khối Kỹ thuật của NAPAS còn phân tách, chưa đồng bộ trong xử lý yêu cầu từ đối tác
(3) Việc chưa có tiêu chuẩn kỹ thuật chung giữa các ngân hàng khiến NAPAS phải xử lý từng tích hợp riêng biệt
(4) Một số ngân hàng ưu tiên phát triển sản phẩm nội bộ nên thiếu động lực phối hợp triển khai sản phẩm của NAPAS
(5) Cơ chế phê duyệt sản phẩm mới giữa các khối trong NAPAS còn nhiều tầng nấc và không có đầu mối điều phối rõ ràng
(6) Thị trường mục tiêu của sản phẩm không được phân tích rõ nên gây lúng túng trong truyền thông với ngân hàng đối tác
(7) Ngân hàng Nhà nước chưa ban hành hướng dẫn pháp lý cho toàn bộ các dòng sản phẩm dịch vụ NAPAS cung cấp</t>
  </si>
  <si>
    <t>(1), (3), (4), (6)</t>
  </si>
  <si>
    <t>(2), (4), (5), (7)</t>
  </si>
  <si>
    <t>(1), (2), (3), (6), (7)</t>
  </si>
  <si>
    <t>Để nâng cao hiệu suất triển khai sản phẩm mới, một lãnh đạo Napas muốn cải tiến quy trình phối hợp. Đề xuất nào thể hiện năng lực cải tiến vận hành liên phòng ban có hệ thống?</t>
  </si>
  <si>
    <t>Thiết lập cơ chế “check-in” hàng tuần giữa đại diện các khối để rà soát vướng mắc và điều chỉnh tiến độ</t>
  </si>
  <si>
    <t>Yêu cầu mỗi khối gửi báo cáo tiến độ theo mẫu thống nhất, không cần họp định kỳ</t>
  </si>
  <si>
    <t>Tăng thêm nhân lực cho từng bộ phận để rút ngắn thời gian xử lý</t>
  </si>
  <si>
    <t>Phân công người giám sát từ ban điều hành can thiệp vào mọi giai đoạn triển khai</t>
  </si>
  <si>
    <t>Khối nghiệp vụ tại NAPAS đang đề xuất cải tiến các quy trình vận hành nhằm gia tăng hiệu quả trong cung cấp dịch vụ cho ngân hàng thành viên và đối tác trung gian thanh toán. Dựa trên chức năng nhiệm vụ của các phòng/ban trong hệ thống NAPAS, đâu là tập hợp hành động cải tiến hợp lý, có tính khả thi cao và tạo tác động trực tiếp đến giá trị cung ứng dịch vụ?
(1) Chuẩn hóa quy trình kết nối dịch vụ mới từ trung gian thanh toán theo hướng “plug-and-play”
(2) Tối ưu thời gian phản hồi xử lý lỗi giao dịch liên ngân hàng thông qua tích hợp kênh trao đổi kỹ thuật và nghiệp vụ
(3) Bổ sung tính năng chuyển đổi biểu phí tự động trên hệ thống NAPAS Core đối với ngân hàng đối tác
(4) Phân quyền cấp phê duyệt nghiệp vụ xử lý sự cố về trung tâm hỗ trợ khách hàng thay vì chờ lãnh đạo phê duyệt tập trung
(5) Rà soát quy trình thẩm định sản phẩm mới giữa các khối để rút ngắn thời gian từ đề xuất đến triển khai
(6) Phân cấp chủ động cho bộ phận kỹ thuật xử lý các thay đổi về hợp đồng dịch vụ để tăng tốc độ triển khai</t>
  </si>
  <si>
    <t>(2), (4), (5), (6)</t>
  </si>
  <si>
    <t>Một nhóm dự án tại NAPAS được giao nhiệm vụ nghiên cứu cải tiến mô hình vận hành dịch vụ thanh toán dịch vụ công (dịch vụ trả phí, học phí, thuế, điện, nước…). Họ đưa ra nhiều đề xuất cải tiến vận hành để phục vụ mô hình mở rộng, tích hợp đa kênh với các bộ/ngành và cổng dịch vụ công quốc gia. Đâu là tổ hợp đề xuất phản ánh tư duy đổi mới phù hợp với mô hình vận hành hiện tại và xu thế dịch vụ công số?
(1) Chuẩn hóa chuẩn kết nối giữa NAPAS và Cổng dịch vụ công quốc gia theo định dạng API RESTful
(2) Thiết lập mô hình kết nối liên thông nhiều lớp giữa NAPAS – ngân hàng – đơn vị dịch vụ công thay vì mô hình điểm – điểm
(3) Cơ cấu lại quy trình đối soát theo hướng xử lý tập trung tại cuối ngày thay vì đồng bộ tức thời
(4) Phát triển tính năng “quét QR theo mã hóa dữ liệu định danh cá nhân” để giảm lỗi nhập liệu người dùng
(5) Kết hợp dữ liệu từ các bộ ngành để cá nhân hóa gợi ý thanh toán dịch vụ định kỳ qua app ngân hàng
(6) Đẩy mạnh triển khai mô hình “dịch vụ tài chính tự vận hành” không thông qua ngân hàng, giảm phụ thuộc kênh trung gian</t>
  </si>
  <si>
    <t>(1), (2), (4), (5)</t>
  </si>
  <si>
    <t>(1), (2), (3), (6)</t>
  </si>
  <si>
    <t>(1), (4), (5), (6)</t>
  </si>
  <si>
    <t>Một quy trình xử lý phản hồi từ khách hàng của Napas hiện mất trung bình 10 ngày do luồng trao đổi phân tán. Giải pháp nào sau đây phù hợp để cải tiến trên quy mô toàn tổ chức?</t>
  </si>
  <si>
    <t>Thiết lập nền tảng quản lý phản hồi thống nhất, có SLA rõ ràng và cơ chế cảnh báo tự động khi quá hạn</t>
  </si>
  <si>
    <t>Giao cho một phòng ban xử lý toàn bộ khiếu nại từ đầu đến cuối để giảm phân tán</t>
  </si>
  <si>
    <t>Yêu cầu các trưởng phòng cam kết xử lý nhanh hơn và chịu trách nhiệm cá nhân nếu trễ</t>
  </si>
  <si>
    <t>Giảm số bước kiểm duyệt để rút ngắn thời gian bất kể rủi ro</t>
  </si>
  <si>
    <t>Đâu là một trong các đặc điểm nổi bật về văn hóa của NAPAS?</t>
  </si>
  <si>
    <t>Tận tâm &amp; Cống hiến</t>
  </si>
  <si>
    <t>Thúc đẩy cạnh tranh nội bộ để nâng cao hiệu suất cá nhân</t>
  </si>
  <si>
    <t>Ưu tiên phát triển theo chiều rộng hơn là chiều sâu</t>
  </si>
  <si>
    <t>Đánh giá hiệu quả dựa trên kết quả cuối cùng của dự án</t>
  </si>
  <si>
    <t>Đâu là một trong những giá trị cốt lõi được Napas xác định và đề cao trong văn hóa tổ chức?</t>
  </si>
  <si>
    <t>Sáng tạo và đổi mới trong công việc</t>
  </si>
  <si>
    <t>Duy trì cách làm cũ để đảm bảo an toàn</t>
  </si>
  <si>
    <t>Cạnh tranh nội bộ để thúc đẩy hiệu suất cá nhân</t>
  </si>
  <si>
    <t>Đề cao cá nhân để tối ưu hiệu quả</t>
  </si>
  <si>
    <t>Giá trị cốt lõi nào sau đây KHÔNG thuộc hệ giá trị của văn hóa doanh nghiệp NAPAS?</t>
  </si>
  <si>
    <t>Khát vọng dẫn đầu</t>
  </si>
  <si>
    <t>Sáng tạo và đổi mới</t>
  </si>
  <si>
    <t>Tuyên ngôn nào sau đây thể hiện đúng tinh thần văn hóa nội bộ của Napas?</t>
  </si>
  <si>
    <t>Xây dựng môi trường làm việc cởi mở và gắn kết</t>
  </si>
  <si>
    <t>Tăng trưởng bằng mọi giá để vượt qua đối thủ</t>
  </si>
  <si>
    <t>Ưu tiên lợi nhuận thay vì sự phối hợp</t>
  </si>
  <si>
    <t>Phát triển cá nhân tách biệt khỏi tập thể</t>
  </si>
  <si>
    <t>Khi phối hợp triển khai dự án liên quan đến cả kỹ thuật và nghiệp vụ tại NAPAS, điều gì sau đây là quan trọng nhất để thúc đẩy hiệu quả làm việc nhóm liên phòng ban?</t>
  </si>
  <si>
    <t>Hiểu được phong cách làm việc và mục tiêu ưu tiên khác nhau giữa các bộ phận</t>
  </si>
  <si>
    <t>Đảm bảo mỗi bên tập trung hoàn thành đúng phần việc được phân công</t>
  </si>
  <si>
    <t>Tăng cường giám sát chéo và tổ chức các cuộc họp kiểm điểm tiến độ hàng tuần</t>
  </si>
  <si>
    <t>Thiết lập KPI cá nhân tách biệt với KPI nhóm để tạo động lực cạnh tranh</t>
  </si>
  <si>
    <t>Tại Napas, một nhân viên làm việc hiệu quả với đồng nghiệp đến từ các phòng ban khác thường thể hiện điều gì?</t>
  </si>
  <si>
    <t>Linh hoạt trong giao tiếp, sẵn sàng điều chỉnh cách làm việc để phù hợp với đặc thù của từng bộ phận</t>
  </si>
  <si>
    <t>Luôn đề nghị người khác tuân theo phong cách làm việc của bộ phận mình để đảm bảo tính thống nhất</t>
  </si>
  <si>
    <t>Chỉ trao đổi với những bộ phận có phong cách làm việc tương tự để hạn chế xung đột</t>
  </si>
  <si>
    <t>Giữ nguyên cách làm quen thuộc của mình trong mọi tình huống để thể hiện sự nhất quán</t>
  </si>
  <si>
    <t>Theo chuẩn mực văn hóa Napas, nhân viên thể hiện sự tôn trọng sự khác biệt bằng cách nào?</t>
  </si>
  <si>
    <t>Chủ động lắng nghe, đóng góp ý kiến trên tinh thần cầu thị và xây dựng</t>
  </si>
  <si>
    <t>Đề xuất các giải pháp riêng biệt để làm nổi bật năng lực cá nhân</t>
  </si>
  <si>
    <t>Luôn ưu tiên ý kiến của người quản lý để đảm bảo không có xung đột</t>
  </si>
  <si>
    <t>Hạn chế tranh luận và giữ quan điểm cá nhân trong mọi tình huống</t>
  </si>
  <si>
    <t>Trong tổ chức như NAPAS, điều gì sau đây góp phần quan trọng vào việc xây dựng văn hóa “tôn trọng sự khác biệt”?</t>
  </si>
  <si>
    <t>Tạo không gian để các bộ phận chia sẻ về đặc thù công việc và thách thức trong vận hành</t>
  </si>
  <si>
    <t>Giao lưu nội bộ định kỳ bằng các hoạt động giải trí, thể thao</t>
  </si>
  <si>
    <t>Khuyến khích các bộ phận sử dụng chung một quy trình và mẫu biểu</t>
  </si>
  <si>
    <t>Phân nhóm nhân sự theo chuyên môn để tránh giao tiếp không hiệu quả</t>
  </si>
  <si>
    <t>Một báo cáo nội bộ của NAPAS cho thấy một số đơn vị phòng/ban có tỷ lệ nghỉ việc và tỷ lệ khiếu nại nội bộ cao hơn mức trung bình, dù kết quả công việc vẫn đạt chỉ tiêu. Các ý kiến sau được đưa ra để phân tích nguyên nhân từ góc độ văn hóa tổ chức. Đâu là các nguyên nhân cần ưu tiên xem xét và cải thiện nhằm tăng mức độ gắn kết lâu dài?
(1) Giao tiếp giữa các cấp quản lý và nhân viên thiếu minh bạch, chủ yếu thông qua văn bản hành chính
(2) Các giá trị văn hóa như "cam kết", "hợp tác" chưa được phản ánh rõ trong cách vận hành hàng ngày
(3) Tổ chức chưa có cơ chế phản hồi hai chiều hiệu quả trong quá trình triển khai công việc
(4) Việc ghi nhận và khen thưởng chưa thực hiện công bằng giữa các đơn vị có đặc thù công việc khác nhau
(5) Chính sách lương thưởng chưa cạnh tranh so với mặt bằng thị trường
(6) Nhân viên cảm thấy không có cơ hội đóng góp sáng kiến cải tiến liên phòng ban
(7) Áp lực hoàn thành KPI cá nhân cao hơn mức trung bình ngành</t>
  </si>
  <si>
    <t>(1), (2), (3), (4)</t>
  </si>
  <si>
    <t>(2), (3), (5), (6), (7)</t>
  </si>
  <si>
    <t>(1), (4), (5), (7)</t>
  </si>
  <si>
    <t>(2), (3), (4), (6), (7)</t>
  </si>
  <si>
    <t>Một nhóm nhân sự thuộc các bộ phận khác nhau không đạt hiệu quả khi phối hợp. Yếu tố văn hóa nào cần được quan tâm hàng đầu để cải thiện tình hình?</t>
  </si>
  <si>
    <t>Tổ chức đối thoại và xây dựng quy tắc làm việc chung dựa trên giá trị cốt lõi của Napas</t>
  </si>
  <si>
    <t>Tăng cường kiểm soát và kỷ luật nội bộ</t>
  </si>
  <si>
    <t>Tái cấu trúc nhóm theo chuyên môn để giảm xung đột văn hóa</t>
  </si>
  <si>
    <t>Phân tách vai trò và giảm tiếp xúc trực tiếp giữa các thành viên</t>
  </si>
  <si>
    <t>Nếu trong một dự án đa phòng ban, một thành viên thể hiện thái độ bảo thủ, xem thường cách làm của bộ phận khác, hành vi phù hợp nhất để xử lý là gì?</t>
  </si>
  <si>
    <t>Góp ý riêng, lắng nghe và khuyến khích người đó nhìn nhận sự đa dạng trong phong cách làm việc</t>
  </si>
  <si>
    <t>Báo cáo lên cấp trên và đề nghị loại bỏ người này khỏi dự án</t>
  </si>
  <si>
    <t>Phớt lờ hành vi đó và tập trung vào nhiệm vụ của nhóm mình</t>
  </si>
  <si>
    <t>Phản bác trực tiếp trong cuộc họp để thể hiện quan điểm đúng đắn</t>
  </si>
  <si>
    <t>Trong một đợt đánh giá nội bộ, NAPAS nhận thấy các dự án liên phòng ban có tỷ lệ trễ tiến độ cao hơn các dự án do một đơn vị thực hiện. Nhóm đánh giá văn hóa tổ chức đưa ra các giả định nguyên nhân dưới đây. Đâu là các nguyên nhân liên quan chặt chẽ đến văn hóa gắn kết và cần cải thiện để tăng hiệu quả phối hợp đa phòng ban?
(1) Thiếu đồng thuận về cách thức làm việc và thứ tự ưu tiên giữa các phòng
(2) Vai trò và trách nhiệm không được xác định rõ từ đầu giữa các bộ phận
(3) Mỗi đơn vị vẫn duy trì văn hóa làm việc riêng, thiếu cơ chế chia sẻ mục tiêu chung
(4) Các quy trình phối hợp chưa cập nhật theo mô hình vận hành tích hợp
(5) Mỗi bộ phận có quy chế đánh giá hiệu suất riêng nên không thống nhất cách đo kết quả
(6) Việc đánh giá chất lượng phối hợp chưa được phản ánh trong khen thưởng nội bộ
(7) Một số trưởng nhóm dự án chỉ ưu tiên quản lý tiến độ nội bộ mà không điều phối tổng thể</t>
  </si>
  <si>
    <t>(1), (3), (4), (5), (6)</t>
  </si>
  <si>
    <t>(2), (4), (5), (6), (7)</t>
  </si>
  <si>
    <t>Khi Napas thực hiện chương trình văn hóa nội bộ mới, bạn được phân công dẫn dắt triển khai trong một đơn vị có nhiều xung đột quan điểm. Biện pháp nào sau đây hiệu quả nhất?</t>
  </si>
  <si>
    <t>Tổ chức buổi thảo luận cởi mở, đặt trọng tâm vào giá trị chung và cam kết xây dựng văn hóa tập thể</t>
  </si>
  <si>
    <t>Lấy ý kiến riêng từng cá nhân để tổng hợp và xử lý sau</t>
  </si>
  <si>
    <t>Áp dụng quy trình triển khai chung toàn Công ty để tạo sự thống nhất tuyệt đối</t>
  </si>
  <si>
    <t>Thuyết phục từng cá nhân bằng lý lẽ và ví dụ thành công từ các bộ phận khác</t>
  </si>
  <si>
    <t>Một chiến dịch nội bộ của NAPAS có tên “Chúng ta là một” nhằm thúc đẩy sự đồng lòng trong toàn công ty, được triển khai trong bối cảnh chuyển đổi số. Các hoạt động dưới đây được đề xuất trong chiến dịch. Đâu là các hành động giúp chiến dịch đạt hiệu quả cao về văn hóa tổ chức?
(1) Tổ chức tọa đàm liên khối về vai trò của từng bộ phận trong hệ sinh thái sản phẩm
(2) Phát động phong trào “đổi ca vị trí công việc 1 ngày” giữa các phòng ban kỹ thuật và nghiệp vụ
(3) Khuyến khích cá nhân xây dựng bài viết “Tôi đồng hành với Napas vì…” đăng trên nội bộ
(4) Cấp ngân sách cho từng phòng ban tổ chức tiệc kết nối riêng biệt không yêu cầu báo cáo kết quả
(5) Mời lãnh đạo từng khối chia sẻ ngắn hàng tuần về tiến độ mục tiêu và khó khăn của đơn vị mình
(6) Phát hành biểu mẫu khảo sát ẩn danh để thu thập phản hồi về gắn kết nội bộ
(7) Tạo kênh chat liên khối không phân quyền để “trao đổi nhanh” mọi chủ đề</t>
  </si>
  <si>
    <t>(1), (2), (3), (5), (6)</t>
  </si>
  <si>
    <t>(1), (3), (4), (5)</t>
  </si>
  <si>
    <t>(1), (2), (5), (6), (7)</t>
  </si>
  <si>
    <t>Một nhóm nhân sự có biểu hiện mệt mỏi và thiếu kết nối sau thời gian làm việc căng thẳng. Cách tiếp cận nào thể hiện rõ năng lực dẫn dắt sáng kiến văn hóa tích cực?</t>
  </si>
  <si>
    <t>Tổ chức một hoạt động giải trí ngoài giờ và khuyến khích sự tham gia trên tinh thần tự nguyện</t>
  </si>
  <si>
    <t>Đề nghị tăng phúc lợi tài chính để tạo động lực trở lại công việc</t>
  </si>
  <si>
    <t>Nhấn mạnh trách nhiệm cá nhân và kỳ vọng hiệu suất cao từ quản lý</t>
  </si>
  <si>
    <t>Cho phép nhóm nghỉ ngắn hạn và tái bố trí nhân lực nếu cần</t>
  </si>
  <si>
    <t>Một trưởng phòng tại NAPAS được giao nhiệm vụ đề xuất sáng kiến nâng cao tính gắn kết nội bộ theo định hướng "văn hóa là sức mạnh tập thể". Dưới đây là các đề xuất được đưa ra sau khi khảo sát nội bộ. Đâu là các sáng kiến phù hợp để khởi động giai đoạn đầu của chiến dịch lan tỏa văn hóa?
(1) Thiết kế chuỗi buổi “Lan tỏa giá trị cốt lõi” với chia sẻ thực tế từ cán bộ tuyến đầu
(2) Gắn KPI văn hóa cá nhân vào cơ chế đánh giá cuối năm để thúc đẩy thực thi
(3) Xây dựng podcast nội bộ với chủ đề “Một ngày làm việc tại NAPAS” từ nhiều phòng ban khác nhau
(4) Yêu cầu toàn bộ phòng ban thiết lập bộ quy tắc ứng xử riêng theo đặc thù công việc
(5) Tổ chức chiến dịch “thử thách phối hợp chéo phòng ban” thông qua các nhiệm vụ nhỏ
(6) Tạm dừng các hoạt động văn hóa 2 tháng để tập trung hoàn thành mục tiêu kinh doanh quý
(7) Mời chuyên gia văn hóa doanh nghiệp bên ngoài chia sẻ về mô hình xây dựng văn hóa tại các công ty công nghệ tài chính</t>
  </si>
  <si>
    <t>(1), (3), (5), (7)</t>
  </si>
  <si>
    <t>(1), (2), (4), (5), (6)</t>
  </si>
  <si>
    <t>(1), (4), (6), (7)</t>
  </si>
  <si>
    <t>P39 - Hiểu biết về Công 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</si>
</sst>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0"/>
      <color theme="1"/>
      <name val="Arial"/>
      <family val="2"/>
    </font>
    <font>
      <sz val="10"/>
      <color rgb="FF000000"/>
      <name val="Arial"/>
      <family val="2"/>
    </font>
    <font>
      <sz val="11"/>
      <color theme="1"/>
      <name val="Arial"/>
      <family val="2"/>
    </font>
    <font>
      <sz val="10"/>
      <color theme="1"/>
      <name val="Arial"/>
      <family val="2"/>
    </font>
    <font>
      <sz val="10"/>
      <name val="Arial"/>
      <family val="2"/>
    </font>
    <font>
      <b/>
      <sz val="10"/>
      <color theme="0"/>
      <name val="Arial"/>
      <family val="2"/>
    </font>
    <font>
      <b/>
      <sz val="16"/>
      <color theme="1"/>
      <name val="Arial"/>
      <family val="2"/>
    </font>
    <font>
      <i/>
      <sz val="10"/>
      <color theme="1"/>
      <name val="Arial"/>
      <family val="2"/>
    </font>
  </fonts>
  <fills count="10">
    <fill>
      <patternFill patternType="none"/>
    </fill>
    <fill>
      <patternFill patternType="gray125"/>
    </fill>
    <fill>
      <patternFill patternType="solid">
        <fgColor theme="0" tint="-4.9989318521683403E-2"/>
        <bgColor indexed="64"/>
      </patternFill>
    </fill>
    <fill>
      <patternFill patternType="solid">
        <fgColor theme="3" tint="9.9978637043366805E-2"/>
        <bgColor indexed="64"/>
      </patternFill>
    </fill>
    <fill>
      <patternFill patternType="solid">
        <fgColor theme="5" tint="-0.499984740745262"/>
        <bgColor indexed="64"/>
      </patternFill>
    </fill>
    <fill>
      <patternFill patternType="solid">
        <fgColor theme="5" tint="0.79998168889431442"/>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2" tint="-9.9978637043366805E-2"/>
        <bgColor indexed="64"/>
      </patternFill>
    </fill>
    <fill>
      <patternFill patternType="solid">
        <fgColor theme="3" tint="0.89999084444715716"/>
        <bgColor indexed="64"/>
      </patternFill>
    </fill>
  </fills>
  <borders count="4">
    <border>
      <left/>
      <right/>
      <top/>
      <bottom/>
      <diagonal/>
    </border>
    <border>
      <left style="thin">
        <color theme="2" tint="-0.249977111117893"/>
      </left>
      <right style="thin">
        <color theme="2" tint="-0.249977111117893"/>
      </right>
      <top style="thin">
        <color theme="2" tint="-0.249977111117893"/>
      </top>
      <bottom style="thin">
        <color theme="2" tint="-0.249977111117893"/>
      </bottom>
      <diagonal/>
    </border>
    <border diagonalDown="1">
      <left style="thin">
        <color theme="2" tint="-0.249977111117893"/>
      </left>
      <right style="thin">
        <color theme="2" tint="-0.249977111117893"/>
      </right>
      <top style="thin">
        <color theme="2" tint="-0.249977111117893"/>
      </top>
      <bottom style="thin">
        <color theme="2" tint="-0.249977111117893"/>
      </bottom>
      <diagonal style="thin">
        <color theme="2" tint="-0.249977111117893"/>
      </diagonal>
    </border>
    <border>
      <left style="hair">
        <color theme="0" tint="-0.499984740745262"/>
      </left>
      <right style="hair">
        <color theme="0" tint="-0.499984740745262"/>
      </right>
      <top style="hair">
        <color theme="0" tint="-0.499984740745262"/>
      </top>
      <bottom style="hair">
        <color theme="0" tint="-0.499984740745262"/>
      </bottom>
      <diagonal/>
    </border>
  </borders>
  <cellStyleXfs count="2">
    <xf numFmtId="0" fontId="0" fillId="0" borderId="0"/>
    <xf numFmtId="0" fontId="2" fillId="0" borderId="0"/>
  </cellStyleXfs>
  <cellXfs count="28">
    <xf numFmtId="0" fontId="0" fillId="0" borderId="0" xfId="0"/>
    <xf numFmtId="0" fontId="4" fillId="0" borderId="1" xfId="0" applyFont="1" applyBorder="1" applyAlignment="1">
      <alignment horizontal="center" vertical="top"/>
    </xf>
    <xf numFmtId="0" fontId="4" fillId="0" borderId="1" xfId="0" applyFont="1" applyBorder="1" applyAlignment="1">
      <alignment horizontal="center" vertical="top" wrapText="1"/>
    </xf>
    <xf numFmtId="0" fontId="4" fillId="0" borderId="1" xfId="0" applyFont="1" applyBorder="1" applyAlignment="1">
      <alignment vertical="top" wrapText="1"/>
    </xf>
    <xf numFmtId="0" fontId="4" fillId="5" borderId="1" xfId="0" applyFont="1" applyFill="1" applyBorder="1" applyAlignment="1">
      <alignment vertical="top" wrapText="1"/>
    </xf>
    <xf numFmtId="0" fontId="6" fillId="6" borderId="1" xfId="0" applyFont="1" applyFill="1" applyBorder="1" applyAlignment="1">
      <alignment horizontal="center" vertical="top" wrapText="1"/>
    </xf>
    <xf numFmtId="0" fontId="4" fillId="0" borderId="1" xfId="0" quotePrefix="1" applyFont="1" applyBorder="1" applyAlignment="1">
      <alignment vertical="top" wrapText="1"/>
    </xf>
    <xf numFmtId="0" fontId="5" fillId="0" borderId="1" xfId="1" applyFont="1" applyBorder="1" applyAlignment="1" applyProtection="1">
      <alignment horizontal="left" vertical="top" wrapText="1"/>
      <protection locked="0"/>
    </xf>
    <xf numFmtId="0" fontId="4" fillId="8" borderId="1" xfId="0" quotePrefix="1" applyFont="1" applyFill="1" applyBorder="1" applyAlignment="1">
      <alignment vertical="top" wrapText="1"/>
    </xf>
    <xf numFmtId="0" fontId="4" fillId="8" borderId="1" xfId="0" applyFont="1" applyFill="1" applyBorder="1" applyAlignment="1">
      <alignment vertical="top" wrapText="1"/>
    </xf>
    <xf numFmtId="0" fontId="5" fillId="8" borderId="1" xfId="1" applyFont="1" applyFill="1" applyBorder="1" applyAlignment="1" applyProtection="1">
      <alignment horizontal="left" vertical="top" wrapText="1"/>
      <protection locked="0"/>
    </xf>
    <xf numFmtId="0" fontId="3" fillId="0" borderId="0" xfId="0" applyFont="1" applyAlignment="1">
      <alignment horizontal="center" vertical="top"/>
    </xf>
    <xf numFmtId="0" fontId="3" fillId="0" borderId="0" xfId="0" applyFont="1" applyAlignment="1">
      <alignment vertical="top"/>
    </xf>
    <xf numFmtId="0" fontId="7" fillId="0" borderId="0" xfId="0" applyFont="1" applyAlignment="1">
      <alignment horizontal="left" vertical="top"/>
    </xf>
    <xf numFmtId="0" fontId="6" fillId="3" borderId="2" xfId="0" applyFont="1" applyFill="1" applyBorder="1" applyAlignment="1">
      <alignment vertical="top" wrapText="1"/>
    </xf>
    <xf numFmtId="0" fontId="6" fillId="3"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4" fillId="0" borderId="1" xfId="0" applyFont="1" applyBorder="1" applyAlignment="1">
      <alignment horizontal="center" vertical="center"/>
    </xf>
    <xf numFmtId="0" fontId="1" fillId="0" borderId="0" xfId="0" applyFont="1" applyAlignment="1">
      <alignment horizontal="left" vertical="top"/>
    </xf>
    <xf numFmtId="0" fontId="4" fillId="0" borderId="0" xfId="0" applyFont="1" applyAlignment="1">
      <alignment horizontal="center" vertical="top"/>
    </xf>
    <xf numFmtId="0" fontId="4" fillId="0" borderId="0" xfId="0" applyFont="1" applyAlignment="1">
      <alignment vertical="top"/>
    </xf>
    <xf numFmtId="0" fontId="1" fillId="9" borderId="1" xfId="0" applyFont="1" applyFill="1" applyBorder="1" applyAlignment="1">
      <alignment horizontal="center" vertical="center"/>
    </xf>
    <xf numFmtId="0" fontId="8" fillId="0" borderId="1" xfId="0" quotePrefix="1" applyFont="1" applyBorder="1" applyAlignment="1">
      <alignment horizontal="center" vertical="top" wrapText="1"/>
    </xf>
    <xf numFmtId="0" fontId="8" fillId="0" borderId="0" xfId="0" applyFont="1" applyAlignment="1">
      <alignment vertical="top"/>
    </xf>
    <xf numFmtId="0" fontId="4" fillId="0" borderId="3" xfId="0" applyFont="1" applyBorder="1" applyAlignment="1">
      <alignment horizontal="center" vertical="top" wrapText="1"/>
    </xf>
    <xf numFmtId="0" fontId="6" fillId="4" borderId="1" xfId="0" applyFont="1" applyFill="1" applyBorder="1" applyAlignment="1">
      <alignment horizontal="center" vertical="top" wrapText="1"/>
    </xf>
    <xf numFmtId="0" fontId="6" fillId="7" borderId="1" xfId="0" applyFont="1" applyFill="1" applyBorder="1" applyAlignment="1">
      <alignment horizontal="center" vertical="top" wrapText="1"/>
    </xf>
    <xf numFmtId="0" fontId="6" fillId="3" borderId="1" xfId="0" applyFont="1" applyFill="1" applyBorder="1" applyAlignment="1">
      <alignment horizontal="center" vertical="top" wrapText="1"/>
    </xf>
  </cellXfs>
  <cellStyles count="2">
    <cellStyle name="Normal" xfId="0" builtinId="0"/>
    <cellStyle name="Normal 2" xfId="1" xr:uid="{17F16F5E-965D-40AC-9573-37F3BFECD5A9}"/>
  </cellStyles>
  <dxfs count="1">
    <dxf>
      <fill>
        <patternFill>
          <bgColor rgb="FFFCF0B2"/>
        </patternFill>
      </fill>
    </dxf>
  </dxfs>
  <tableStyles count="0" defaultTableStyle="TableStyleMedium2" defaultPivotStyle="PivotStyleLight16"/>
  <colors>
    <mruColors>
      <color rgb="FFFCF0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5C0B0-9D89-4729-AC6E-7F1010ED0730}">
  <dimension ref="B1:J61"/>
  <sheetViews>
    <sheetView showGridLines="0" tabSelected="1" zoomScale="85" zoomScaleNormal="85" workbookViewId="0">
      <selection activeCell="F18" sqref="F18"/>
    </sheetView>
  </sheetViews>
  <sheetFormatPr defaultColWidth="9" defaultRowHeight="12.75" outlineLevelRow="1" x14ac:dyDescent="0.25"/>
  <cols>
    <col min="1" max="1" width="2.85546875" style="20" customWidth="1"/>
    <col min="2" max="2" width="7.85546875" style="19" customWidth="1"/>
    <col min="3" max="3" width="9" style="19"/>
    <col min="4" max="4" width="23.42578125" style="20" customWidth="1"/>
    <col min="5" max="5" width="9" style="19"/>
    <col min="6" max="10" width="45.42578125" style="20" customWidth="1"/>
    <col min="11" max="11" width="9" style="20"/>
    <col min="12" max="12" width="12.5703125" style="20" customWidth="1"/>
    <col min="13" max="16384" width="9" style="20"/>
  </cols>
  <sheetData>
    <row r="1" spans="2:10" s="12" customFormat="1" ht="14.25" x14ac:dyDescent="0.25">
      <c r="B1" s="11"/>
      <c r="C1" s="11"/>
      <c r="E1" s="11"/>
    </row>
    <row r="2" spans="2:10" s="12" customFormat="1" ht="26.25" customHeight="1" x14ac:dyDescent="0.25">
      <c r="B2" s="13" t="s">
        <v>236</v>
      </c>
      <c r="C2" s="11"/>
      <c r="E2" s="11"/>
    </row>
    <row r="3" spans="2:10" s="12" customFormat="1" ht="10.35" customHeight="1" x14ac:dyDescent="0.25">
      <c r="B3" s="13"/>
      <c r="C3" s="11"/>
      <c r="E3" s="11"/>
    </row>
    <row r="4" spans="2:10" ht="31.5" customHeight="1" outlineLevel="1" x14ac:dyDescent="0.25">
      <c r="B4" s="18"/>
      <c r="D4" s="14" t="s">
        <v>10</v>
      </c>
      <c r="E4" s="15" t="s">
        <v>11</v>
      </c>
      <c r="F4" s="16">
        <v>1</v>
      </c>
      <c r="G4" s="16">
        <v>2</v>
      </c>
      <c r="H4" s="16">
        <v>3</v>
      </c>
    </row>
    <row r="5" spans="2:10" ht="20.100000000000001" customHeight="1" outlineLevel="1" x14ac:dyDescent="0.25">
      <c r="B5" s="18"/>
      <c r="D5" s="15" t="s">
        <v>11</v>
      </c>
      <c r="E5" s="15">
        <f>SUM(E6:E9)</f>
        <v>48</v>
      </c>
      <c r="F5" s="21">
        <f>SUM(F6:F9)</f>
        <v>17</v>
      </c>
      <c r="G5" s="21">
        <f t="shared" ref="G5:H5" si="0">SUM(G6:G9)</f>
        <v>15</v>
      </c>
      <c r="H5" s="21">
        <f t="shared" si="0"/>
        <v>16</v>
      </c>
    </row>
    <row r="6" spans="2:10" ht="20.100000000000001" customHeight="1" outlineLevel="1" x14ac:dyDescent="0.25">
      <c r="B6" s="18"/>
      <c r="D6" s="16">
        <v>1</v>
      </c>
      <c r="E6" s="21">
        <f>SUM(F6:H6)</f>
        <v>12</v>
      </c>
      <c r="F6" s="17">
        <f t="shared" ref="F6:H9" si="1">COUNTIFS($E$13:$E$148,$D6,$C$13:$C$148,F$4)</f>
        <v>4</v>
      </c>
      <c r="G6" s="17">
        <f t="shared" si="1"/>
        <v>4</v>
      </c>
      <c r="H6" s="17">
        <f t="shared" si="1"/>
        <v>4</v>
      </c>
    </row>
    <row r="7" spans="2:10" ht="20.100000000000001" customHeight="1" outlineLevel="1" x14ac:dyDescent="0.25">
      <c r="B7" s="18"/>
      <c r="D7" s="16">
        <v>2</v>
      </c>
      <c r="E7" s="21">
        <f t="shared" ref="E7:E9" si="2">SUM(F7:H7)</f>
        <v>12</v>
      </c>
      <c r="F7" s="17">
        <f t="shared" si="1"/>
        <v>5</v>
      </c>
      <c r="G7" s="17">
        <f t="shared" si="1"/>
        <v>3</v>
      </c>
      <c r="H7" s="17">
        <f t="shared" si="1"/>
        <v>4</v>
      </c>
    </row>
    <row r="8" spans="2:10" ht="20.100000000000001" customHeight="1" outlineLevel="1" x14ac:dyDescent="0.25">
      <c r="B8" s="18"/>
      <c r="D8" s="16">
        <v>3</v>
      </c>
      <c r="E8" s="21">
        <f t="shared" si="2"/>
        <v>12</v>
      </c>
      <c r="F8" s="17">
        <f t="shared" si="1"/>
        <v>4</v>
      </c>
      <c r="G8" s="17">
        <f t="shared" si="1"/>
        <v>4</v>
      </c>
      <c r="H8" s="17">
        <f t="shared" si="1"/>
        <v>4</v>
      </c>
    </row>
    <row r="9" spans="2:10" ht="20.100000000000001" customHeight="1" outlineLevel="1" x14ac:dyDescent="0.25">
      <c r="B9" s="18"/>
      <c r="D9" s="16">
        <v>4</v>
      </c>
      <c r="E9" s="21">
        <f t="shared" si="2"/>
        <v>12</v>
      </c>
      <c r="F9" s="17">
        <f t="shared" si="1"/>
        <v>4</v>
      </c>
      <c r="G9" s="17">
        <f t="shared" si="1"/>
        <v>4</v>
      </c>
      <c r="H9" s="17">
        <f t="shared" si="1"/>
        <v>4</v>
      </c>
    </row>
    <row r="10" spans="2:10" ht="6.75" customHeight="1" x14ac:dyDescent="0.25"/>
    <row r="11" spans="2:10" ht="19.350000000000001" customHeight="1" x14ac:dyDescent="0.25">
      <c r="B11" s="27" t="s">
        <v>0</v>
      </c>
      <c r="C11" s="27" t="s">
        <v>1</v>
      </c>
      <c r="D11" s="27" t="s">
        <v>2</v>
      </c>
      <c r="E11" s="27" t="s">
        <v>3</v>
      </c>
      <c r="F11" s="25" t="s">
        <v>8</v>
      </c>
      <c r="G11" s="26" t="s">
        <v>9</v>
      </c>
      <c r="H11" s="26"/>
      <c r="I11" s="26"/>
      <c r="J11" s="26"/>
    </row>
    <row r="12" spans="2:10" ht="19.350000000000001" customHeight="1" x14ac:dyDescent="0.25">
      <c r="B12" s="27"/>
      <c r="C12" s="27"/>
      <c r="D12" s="27"/>
      <c r="E12" s="27"/>
      <c r="F12" s="25"/>
      <c r="G12" s="5" t="s">
        <v>4</v>
      </c>
      <c r="H12" s="5" t="s">
        <v>5</v>
      </c>
      <c r="I12" s="5" t="s">
        <v>6</v>
      </c>
      <c r="J12" s="5" t="s">
        <v>7</v>
      </c>
    </row>
    <row r="13" spans="2:10" s="23" customFormat="1" x14ac:dyDescent="0.25">
      <c r="B13" s="22" t="str">
        <f t="shared" ref="B13:J13" si="3">"("&amp;COLUMN()-COLUMN($A$13)&amp;")"</f>
        <v>(1)</v>
      </c>
      <c r="C13" s="22" t="str">
        <f t="shared" si="3"/>
        <v>(2)</v>
      </c>
      <c r="D13" s="22" t="str">
        <f t="shared" si="3"/>
        <v>(3)</v>
      </c>
      <c r="E13" s="22" t="str">
        <f t="shared" si="3"/>
        <v>(4)</v>
      </c>
      <c r="F13" s="22" t="str">
        <f t="shared" si="3"/>
        <v>(5)</v>
      </c>
      <c r="G13" s="22" t="str">
        <f t="shared" si="3"/>
        <v>(6)</v>
      </c>
      <c r="H13" s="22" t="str">
        <f t="shared" si="3"/>
        <v>(7)</v>
      </c>
      <c r="I13" s="22" t="str">
        <f t="shared" si="3"/>
        <v>(8)</v>
      </c>
      <c r="J13" s="22" t="str">
        <f t="shared" si="3"/>
        <v>(9)</v>
      </c>
    </row>
    <row r="14" spans="2:10" ht="51" x14ac:dyDescent="0.25">
      <c r="B14" s="1">
        <f>ROW()-ROW($B$13)</f>
        <v>1</v>
      </c>
      <c r="C14" s="24">
        <v>1</v>
      </c>
      <c r="D14" s="3" t="s">
        <v>12</v>
      </c>
      <c r="E14" s="2">
        <v>1</v>
      </c>
      <c r="F14" s="4" t="s">
        <v>13</v>
      </c>
      <c r="G14" s="8" t="s">
        <v>14</v>
      </c>
      <c r="H14" s="6" t="s">
        <v>15</v>
      </c>
      <c r="I14" s="6" t="s">
        <v>16</v>
      </c>
      <c r="J14" s="6" t="s">
        <v>17</v>
      </c>
    </row>
    <row r="15" spans="2:10" ht="51" x14ac:dyDescent="0.25">
      <c r="B15" s="1">
        <f t="shared" ref="B15:B34" si="4">ROW()-ROW($B$13)</f>
        <v>2</v>
      </c>
      <c r="C15" s="24">
        <v>1</v>
      </c>
      <c r="D15" s="3" t="s">
        <v>12</v>
      </c>
      <c r="E15" s="2">
        <v>1</v>
      </c>
      <c r="F15" s="4" t="s">
        <v>18</v>
      </c>
      <c r="G15" s="9" t="s">
        <v>19</v>
      </c>
      <c r="H15" s="3" t="s">
        <v>20</v>
      </c>
      <c r="I15" s="3" t="s">
        <v>21</v>
      </c>
      <c r="J15" s="3" t="s">
        <v>22</v>
      </c>
    </row>
    <row r="16" spans="2:10" ht="51" x14ac:dyDescent="0.25">
      <c r="B16" s="1">
        <f t="shared" si="4"/>
        <v>3</v>
      </c>
      <c r="C16" s="24">
        <v>1</v>
      </c>
      <c r="D16" s="3" t="s">
        <v>12</v>
      </c>
      <c r="E16" s="2">
        <v>1</v>
      </c>
      <c r="F16" s="4" t="s">
        <v>23</v>
      </c>
      <c r="G16" s="9" t="s">
        <v>24</v>
      </c>
      <c r="H16" s="3" t="s">
        <v>25</v>
      </c>
      <c r="I16" s="3" t="s">
        <v>26</v>
      </c>
      <c r="J16" s="3" t="s">
        <v>27</v>
      </c>
    </row>
    <row r="17" spans="2:10" ht="51" x14ac:dyDescent="0.25">
      <c r="B17" s="1">
        <f t="shared" si="4"/>
        <v>4</v>
      </c>
      <c r="C17" s="24">
        <v>1</v>
      </c>
      <c r="D17" s="3" t="s">
        <v>12</v>
      </c>
      <c r="E17" s="2">
        <v>1</v>
      </c>
      <c r="F17" s="4" t="s">
        <v>28</v>
      </c>
      <c r="G17" s="9" t="s">
        <v>29</v>
      </c>
      <c r="H17" s="3" t="s">
        <v>30</v>
      </c>
      <c r="I17" s="3" t="s">
        <v>31</v>
      </c>
      <c r="J17" s="3" t="s">
        <v>32</v>
      </c>
    </row>
    <row r="18" spans="2:10" ht="51" x14ac:dyDescent="0.25">
      <c r="B18" s="1">
        <f t="shared" si="4"/>
        <v>5</v>
      </c>
      <c r="C18" s="24">
        <v>1</v>
      </c>
      <c r="D18" s="3" t="s">
        <v>12</v>
      </c>
      <c r="E18" s="2">
        <v>2</v>
      </c>
      <c r="F18" s="4" t="s">
        <v>33</v>
      </c>
      <c r="G18" s="9" t="s">
        <v>34</v>
      </c>
      <c r="H18" s="3" t="s">
        <v>35</v>
      </c>
      <c r="I18" s="3" t="s">
        <v>36</v>
      </c>
      <c r="J18" s="3" t="s">
        <v>37</v>
      </c>
    </row>
    <row r="19" spans="2:10" ht="51" x14ac:dyDescent="0.25">
      <c r="B19" s="1">
        <f t="shared" si="4"/>
        <v>6</v>
      </c>
      <c r="C19" s="24">
        <v>1</v>
      </c>
      <c r="D19" s="3" t="s">
        <v>12</v>
      </c>
      <c r="E19" s="2">
        <v>2</v>
      </c>
      <c r="F19" s="4" t="s">
        <v>38</v>
      </c>
      <c r="G19" s="9" t="s">
        <v>39</v>
      </c>
      <c r="H19" s="3" t="s">
        <v>40</v>
      </c>
      <c r="I19" s="3" t="s">
        <v>41</v>
      </c>
      <c r="J19" s="3" t="s">
        <v>42</v>
      </c>
    </row>
    <row r="20" spans="2:10" ht="153" x14ac:dyDescent="0.25">
      <c r="B20" s="1">
        <f t="shared" si="4"/>
        <v>7</v>
      </c>
      <c r="C20" s="24">
        <v>1</v>
      </c>
      <c r="D20" s="3" t="s">
        <v>12</v>
      </c>
      <c r="E20" s="2">
        <v>2</v>
      </c>
      <c r="F20" s="4" t="s">
        <v>43</v>
      </c>
      <c r="G20" s="9">
        <v>1</v>
      </c>
      <c r="H20" s="3">
        <v>2</v>
      </c>
      <c r="I20" s="3">
        <v>3</v>
      </c>
      <c r="J20" s="3" t="s">
        <v>44</v>
      </c>
    </row>
    <row r="21" spans="2:10" ht="51" x14ac:dyDescent="0.25">
      <c r="B21" s="1">
        <f t="shared" si="4"/>
        <v>8</v>
      </c>
      <c r="C21" s="24">
        <v>1</v>
      </c>
      <c r="D21" s="3" t="s">
        <v>12</v>
      </c>
      <c r="E21" s="2">
        <v>2</v>
      </c>
      <c r="F21" s="4" t="s">
        <v>45</v>
      </c>
      <c r="G21" s="9" t="s">
        <v>46</v>
      </c>
      <c r="H21" s="3" t="s">
        <v>47</v>
      </c>
      <c r="I21" s="3" t="s">
        <v>48</v>
      </c>
      <c r="J21" s="3" t="s">
        <v>49</v>
      </c>
    </row>
    <row r="22" spans="2:10" ht="51" x14ac:dyDescent="0.25">
      <c r="B22" s="1">
        <f t="shared" si="4"/>
        <v>9</v>
      </c>
      <c r="C22" s="24">
        <v>1</v>
      </c>
      <c r="D22" s="3" t="s">
        <v>12</v>
      </c>
      <c r="E22" s="2">
        <v>2</v>
      </c>
      <c r="F22" s="4" t="s">
        <v>50</v>
      </c>
      <c r="G22" s="10" t="s">
        <v>51</v>
      </c>
      <c r="H22" s="7" t="s">
        <v>52</v>
      </c>
      <c r="I22" s="7" t="s">
        <v>53</v>
      </c>
      <c r="J22" s="7" t="s">
        <v>54</v>
      </c>
    </row>
    <row r="23" spans="2:10" ht="291" customHeight="1" x14ac:dyDescent="0.25">
      <c r="B23" s="1">
        <f t="shared" si="4"/>
        <v>10</v>
      </c>
      <c r="C23" s="24">
        <v>1</v>
      </c>
      <c r="D23" s="3" t="s">
        <v>12</v>
      </c>
      <c r="E23" s="2">
        <v>3</v>
      </c>
      <c r="F23" s="4" t="s">
        <v>55</v>
      </c>
      <c r="G23" s="10" t="s">
        <v>56</v>
      </c>
      <c r="H23" s="7" t="s">
        <v>57</v>
      </c>
      <c r="I23" s="7" t="s">
        <v>58</v>
      </c>
      <c r="J23" s="7" t="s">
        <v>59</v>
      </c>
    </row>
    <row r="24" spans="2:10" ht="51" x14ac:dyDescent="0.25">
      <c r="B24" s="1">
        <f t="shared" si="4"/>
        <v>11</v>
      </c>
      <c r="C24" s="24">
        <v>1</v>
      </c>
      <c r="D24" s="3" t="s">
        <v>12</v>
      </c>
      <c r="E24" s="2">
        <v>3</v>
      </c>
      <c r="F24" s="4" t="s">
        <v>60</v>
      </c>
      <c r="G24" s="10" t="s">
        <v>61</v>
      </c>
      <c r="H24" s="7" t="s">
        <v>62</v>
      </c>
      <c r="I24" s="7" t="s">
        <v>63</v>
      </c>
      <c r="J24" s="7" t="s">
        <v>64</v>
      </c>
    </row>
    <row r="25" spans="2:10" ht="326.10000000000002" customHeight="1" x14ac:dyDescent="0.25">
      <c r="B25" s="1">
        <f t="shared" si="4"/>
        <v>12</v>
      </c>
      <c r="C25" s="24">
        <v>1</v>
      </c>
      <c r="D25" s="3" t="s">
        <v>12</v>
      </c>
      <c r="E25" s="2">
        <v>3</v>
      </c>
      <c r="F25" s="4" t="s">
        <v>65</v>
      </c>
      <c r="G25" s="10" t="s">
        <v>66</v>
      </c>
      <c r="H25" s="7" t="s">
        <v>67</v>
      </c>
      <c r="I25" s="7" t="s">
        <v>68</v>
      </c>
      <c r="J25" s="7" t="s">
        <v>69</v>
      </c>
    </row>
    <row r="26" spans="2:10" ht="51" x14ac:dyDescent="0.25">
      <c r="B26" s="1">
        <f t="shared" si="4"/>
        <v>13</v>
      </c>
      <c r="C26" s="24">
        <v>1</v>
      </c>
      <c r="D26" s="3" t="s">
        <v>12</v>
      </c>
      <c r="E26" s="2">
        <v>3</v>
      </c>
      <c r="F26" s="4" t="s">
        <v>70</v>
      </c>
      <c r="G26" s="9" t="s">
        <v>71</v>
      </c>
      <c r="H26" s="3" t="s">
        <v>72</v>
      </c>
      <c r="I26" s="3" t="s">
        <v>73</v>
      </c>
      <c r="J26" s="3" t="s">
        <v>74</v>
      </c>
    </row>
    <row r="27" spans="2:10" ht="331.5" x14ac:dyDescent="0.25">
      <c r="B27" s="1">
        <f t="shared" si="4"/>
        <v>14</v>
      </c>
      <c r="C27" s="24">
        <v>1</v>
      </c>
      <c r="D27" s="3" t="s">
        <v>12</v>
      </c>
      <c r="E27" s="2">
        <v>4</v>
      </c>
      <c r="F27" s="4" t="s">
        <v>75</v>
      </c>
      <c r="G27" s="9" t="s">
        <v>76</v>
      </c>
      <c r="H27" s="3" t="s">
        <v>77</v>
      </c>
      <c r="I27" s="3" t="s">
        <v>78</v>
      </c>
      <c r="J27" s="3" t="s">
        <v>79</v>
      </c>
    </row>
    <row r="28" spans="2:10" ht="51" x14ac:dyDescent="0.25">
      <c r="B28" s="1">
        <f t="shared" si="4"/>
        <v>15</v>
      </c>
      <c r="C28" s="24">
        <v>1</v>
      </c>
      <c r="D28" s="3" t="s">
        <v>12</v>
      </c>
      <c r="E28" s="2">
        <v>4</v>
      </c>
      <c r="F28" s="4" t="s">
        <v>80</v>
      </c>
      <c r="G28" s="9" t="s">
        <v>81</v>
      </c>
      <c r="H28" s="3" t="s">
        <v>82</v>
      </c>
      <c r="I28" s="3" t="s">
        <v>83</v>
      </c>
      <c r="J28" s="3" t="s">
        <v>84</v>
      </c>
    </row>
    <row r="29" spans="2:10" ht="51" x14ac:dyDescent="0.25">
      <c r="B29" s="1">
        <f t="shared" si="4"/>
        <v>16</v>
      </c>
      <c r="C29" s="24">
        <v>1</v>
      </c>
      <c r="D29" s="3" t="s">
        <v>12</v>
      </c>
      <c r="E29" s="2">
        <v>4</v>
      </c>
      <c r="F29" s="4" t="s">
        <v>87</v>
      </c>
      <c r="G29" s="9" t="s">
        <v>88</v>
      </c>
      <c r="H29" s="3" t="s">
        <v>89</v>
      </c>
      <c r="I29" s="3" t="s">
        <v>90</v>
      </c>
      <c r="J29" s="3" t="s">
        <v>91</v>
      </c>
    </row>
    <row r="30" spans="2:10" ht="344.25" x14ac:dyDescent="0.25">
      <c r="B30" s="1">
        <f t="shared" si="4"/>
        <v>17</v>
      </c>
      <c r="C30" s="24">
        <v>1</v>
      </c>
      <c r="D30" s="3" t="s">
        <v>12</v>
      </c>
      <c r="E30" s="2">
        <v>4</v>
      </c>
      <c r="F30" s="4" t="s">
        <v>92</v>
      </c>
      <c r="G30" s="9" t="s">
        <v>67</v>
      </c>
      <c r="H30" s="3" t="s">
        <v>68</v>
      </c>
      <c r="I30" s="3" t="s">
        <v>69</v>
      </c>
      <c r="J30" s="3" t="s">
        <v>66</v>
      </c>
    </row>
    <row r="31" spans="2:10" ht="63.75" x14ac:dyDescent="0.25">
      <c r="B31" s="1">
        <f t="shared" si="4"/>
        <v>18</v>
      </c>
      <c r="C31" s="24">
        <v>2</v>
      </c>
      <c r="D31" s="3" t="s">
        <v>85</v>
      </c>
      <c r="E31" s="2">
        <v>1</v>
      </c>
      <c r="F31" s="4" t="s">
        <v>93</v>
      </c>
      <c r="G31" s="9" t="s">
        <v>94</v>
      </c>
      <c r="H31" s="3" t="s">
        <v>95</v>
      </c>
      <c r="I31" s="3" t="s">
        <v>96</v>
      </c>
      <c r="J31" s="3" t="s">
        <v>97</v>
      </c>
    </row>
    <row r="32" spans="2:10" ht="63.75" x14ac:dyDescent="0.25">
      <c r="B32" s="1">
        <f t="shared" si="4"/>
        <v>19</v>
      </c>
      <c r="C32" s="24">
        <v>2</v>
      </c>
      <c r="D32" s="3" t="s">
        <v>85</v>
      </c>
      <c r="E32" s="2">
        <v>1</v>
      </c>
      <c r="F32" s="4" t="s">
        <v>98</v>
      </c>
      <c r="G32" s="8" t="s">
        <v>99</v>
      </c>
      <c r="H32" s="6" t="s">
        <v>100</v>
      </c>
      <c r="I32" s="6" t="s">
        <v>101</v>
      </c>
      <c r="J32" s="6" t="s">
        <v>102</v>
      </c>
    </row>
    <row r="33" spans="2:10" ht="63.75" x14ac:dyDescent="0.25">
      <c r="B33" s="1">
        <f t="shared" si="4"/>
        <v>20</v>
      </c>
      <c r="C33" s="24">
        <v>2</v>
      </c>
      <c r="D33" s="3" t="s">
        <v>85</v>
      </c>
      <c r="E33" s="2">
        <v>1</v>
      </c>
      <c r="F33" s="4" t="s">
        <v>103</v>
      </c>
      <c r="G33" s="9" t="s">
        <v>104</v>
      </c>
      <c r="H33" s="3" t="s">
        <v>105</v>
      </c>
      <c r="I33" s="3" t="s">
        <v>106</v>
      </c>
      <c r="J33" s="3" t="s">
        <v>107</v>
      </c>
    </row>
    <row r="34" spans="2:10" ht="63.75" x14ac:dyDescent="0.25">
      <c r="B34" s="1">
        <f t="shared" si="4"/>
        <v>21</v>
      </c>
      <c r="C34" s="24">
        <v>2</v>
      </c>
      <c r="D34" s="3" t="s">
        <v>85</v>
      </c>
      <c r="E34" s="2">
        <v>1</v>
      </c>
      <c r="F34" s="4" t="s">
        <v>108</v>
      </c>
      <c r="G34" s="9" t="s">
        <v>109</v>
      </c>
      <c r="H34" s="3" t="s">
        <v>110</v>
      </c>
      <c r="I34" s="3" t="s">
        <v>111</v>
      </c>
      <c r="J34" s="3" t="s">
        <v>112</v>
      </c>
    </row>
    <row r="35" spans="2:10" ht="63.75" x14ac:dyDescent="0.25">
      <c r="B35" s="1">
        <f>ROW()-ROW($B$13)</f>
        <v>22</v>
      </c>
      <c r="C35" s="24">
        <v>2</v>
      </c>
      <c r="D35" s="3" t="s">
        <v>85</v>
      </c>
      <c r="E35" s="2">
        <v>2</v>
      </c>
      <c r="F35" s="4" t="s">
        <v>113</v>
      </c>
      <c r="G35" s="8" t="s">
        <v>114</v>
      </c>
      <c r="H35" s="6" t="s">
        <v>115</v>
      </c>
      <c r="I35" s="6" t="s">
        <v>116</v>
      </c>
      <c r="J35" s="6" t="s">
        <v>117</v>
      </c>
    </row>
    <row r="36" spans="2:10" ht="63.75" x14ac:dyDescent="0.25">
      <c r="B36" s="1">
        <f t="shared" ref="B36:B55" si="5">ROW()-ROW($B$13)</f>
        <v>23</v>
      </c>
      <c r="C36" s="24">
        <v>2</v>
      </c>
      <c r="D36" s="3" t="s">
        <v>85</v>
      </c>
      <c r="E36" s="2">
        <v>2</v>
      </c>
      <c r="F36" s="4" t="s">
        <v>118</v>
      </c>
      <c r="G36" s="9" t="s">
        <v>119</v>
      </c>
      <c r="H36" s="3" t="s">
        <v>120</v>
      </c>
      <c r="I36" s="3" t="s">
        <v>121</v>
      </c>
      <c r="J36" s="3" t="s">
        <v>122</v>
      </c>
    </row>
    <row r="37" spans="2:10" ht="63.75" x14ac:dyDescent="0.25">
      <c r="B37" s="1">
        <f t="shared" si="5"/>
        <v>24</v>
      </c>
      <c r="C37" s="24">
        <v>2</v>
      </c>
      <c r="D37" s="3" t="s">
        <v>85</v>
      </c>
      <c r="E37" s="2">
        <v>2</v>
      </c>
      <c r="F37" s="4" t="s">
        <v>123</v>
      </c>
      <c r="G37" s="9" t="s">
        <v>124</v>
      </c>
      <c r="H37" s="3" t="s">
        <v>125</v>
      </c>
      <c r="I37" s="3" t="s">
        <v>126</v>
      </c>
      <c r="J37" s="3" t="s">
        <v>127</v>
      </c>
    </row>
    <row r="38" spans="2:10" ht="63.75" x14ac:dyDescent="0.25">
      <c r="B38" s="1">
        <f t="shared" si="5"/>
        <v>25</v>
      </c>
      <c r="C38" s="24">
        <v>2</v>
      </c>
      <c r="D38" s="3" t="s">
        <v>85</v>
      </c>
      <c r="E38" s="2">
        <v>3</v>
      </c>
      <c r="F38" s="4" t="s">
        <v>128</v>
      </c>
      <c r="G38" s="9" t="s">
        <v>129</v>
      </c>
      <c r="H38" s="3" t="s">
        <v>130</v>
      </c>
      <c r="I38" s="3" t="s">
        <v>131</v>
      </c>
      <c r="J38" s="3" t="s">
        <v>132</v>
      </c>
    </row>
    <row r="39" spans="2:10" ht="305.10000000000002" customHeight="1" x14ac:dyDescent="0.25">
      <c r="B39" s="1">
        <f t="shared" si="5"/>
        <v>26</v>
      </c>
      <c r="C39" s="24">
        <v>2</v>
      </c>
      <c r="D39" s="3" t="s">
        <v>85</v>
      </c>
      <c r="E39" s="2">
        <v>3</v>
      </c>
      <c r="F39" s="4" t="s">
        <v>133</v>
      </c>
      <c r="G39" s="9" t="s">
        <v>77</v>
      </c>
      <c r="H39" s="3" t="s">
        <v>134</v>
      </c>
      <c r="I39" s="3" t="s">
        <v>135</v>
      </c>
      <c r="J39" s="3" t="s">
        <v>136</v>
      </c>
    </row>
    <row r="40" spans="2:10" ht="63.75" x14ac:dyDescent="0.25">
      <c r="B40" s="1">
        <f t="shared" si="5"/>
        <v>27</v>
      </c>
      <c r="C40" s="24">
        <v>2</v>
      </c>
      <c r="D40" s="3" t="s">
        <v>85</v>
      </c>
      <c r="E40" s="2">
        <v>3</v>
      </c>
      <c r="F40" s="4" t="s">
        <v>137</v>
      </c>
      <c r="G40" s="9" t="s">
        <v>138</v>
      </c>
      <c r="H40" s="3" t="s">
        <v>139</v>
      </c>
      <c r="I40" s="3" t="s">
        <v>140</v>
      </c>
      <c r="J40" s="3" t="s">
        <v>141</v>
      </c>
    </row>
    <row r="41" spans="2:10" ht="311.10000000000002" customHeight="1" x14ac:dyDescent="0.25">
      <c r="B41" s="1">
        <f t="shared" si="5"/>
        <v>28</v>
      </c>
      <c r="C41" s="24">
        <v>2</v>
      </c>
      <c r="D41" s="3" t="s">
        <v>85</v>
      </c>
      <c r="E41" s="2">
        <v>3</v>
      </c>
      <c r="F41" s="4" t="s">
        <v>142</v>
      </c>
      <c r="G41" s="9" t="s">
        <v>77</v>
      </c>
      <c r="H41" s="3" t="s">
        <v>143</v>
      </c>
      <c r="I41" s="3" t="s">
        <v>144</v>
      </c>
      <c r="J41" s="3" t="s">
        <v>145</v>
      </c>
    </row>
    <row r="42" spans="2:10" ht="63.75" x14ac:dyDescent="0.25">
      <c r="B42" s="1">
        <f t="shared" si="5"/>
        <v>29</v>
      </c>
      <c r="C42" s="24">
        <v>2</v>
      </c>
      <c r="D42" s="3" t="s">
        <v>85</v>
      </c>
      <c r="E42" s="2">
        <v>4</v>
      </c>
      <c r="F42" s="4" t="s">
        <v>146</v>
      </c>
      <c r="G42" s="9" t="s">
        <v>147</v>
      </c>
      <c r="H42" s="3" t="s">
        <v>148</v>
      </c>
      <c r="I42" s="3" t="s">
        <v>149</v>
      </c>
      <c r="J42" s="3" t="s">
        <v>150</v>
      </c>
    </row>
    <row r="43" spans="2:10" ht="318.75" x14ac:dyDescent="0.25">
      <c r="B43" s="1">
        <f t="shared" si="5"/>
        <v>30</v>
      </c>
      <c r="C43" s="24">
        <v>2</v>
      </c>
      <c r="D43" s="3" t="s">
        <v>85</v>
      </c>
      <c r="E43" s="2">
        <v>4</v>
      </c>
      <c r="F43" s="4" t="s">
        <v>151</v>
      </c>
      <c r="G43" s="10" t="s">
        <v>134</v>
      </c>
      <c r="H43" s="7" t="s">
        <v>152</v>
      </c>
      <c r="I43" s="7" t="s">
        <v>77</v>
      </c>
      <c r="J43" s="7" t="s">
        <v>69</v>
      </c>
    </row>
    <row r="44" spans="2:10" ht="306" x14ac:dyDescent="0.25">
      <c r="B44" s="1">
        <f t="shared" si="5"/>
        <v>31</v>
      </c>
      <c r="C44" s="24">
        <v>2</v>
      </c>
      <c r="D44" s="3" t="s">
        <v>85</v>
      </c>
      <c r="E44" s="2">
        <v>4</v>
      </c>
      <c r="F44" s="4" t="s">
        <v>153</v>
      </c>
      <c r="G44" s="10" t="s">
        <v>154</v>
      </c>
      <c r="H44" s="7" t="s">
        <v>68</v>
      </c>
      <c r="I44" s="7" t="s">
        <v>155</v>
      </c>
      <c r="J44" s="7" t="s">
        <v>156</v>
      </c>
    </row>
    <row r="45" spans="2:10" ht="63.75" x14ac:dyDescent="0.25">
      <c r="B45" s="1">
        <f t="shared" si="5"/>
        <v>32</v>
      </c>
      <c r="C45" s="24">
        <v>2</v>
      </c>
      <c r="D45" s="3" t="s">
        <v>85</v>
      </c>
      <c r="E45" s="2">
        <v>4</v>
      </c>
      <c r="F45" s="4" t="s">
        <v>157</v>
      </c>
      <c r="G45" s="10" t="s">
        <v>158</v>
      </c>
      <c r="H45" s="7" t="s">
        <v>159</v>
      </c>
      <c r="I45" s="7" t="s">
        <v>160</v>
      </c>
      <c r="J45" s="7" t="s">
        <v>161</v>
      </c>
    </row>
    <row r="46" spans="2:10" ht="63.75" x14ac:dyDescent="0.25">
      <c r="B46" s="1">
        <f t="shared" si="5"/>
        <v>33</v>
      </c>
      <c r="C46" s="24">
        <v>3</v>
      </c>
      <c r="D46" s="3" t="s">
        <v>86</v>
      </c>
      <c r="E46" s="2">
        <v>1</v>
      </c>
      <c r="F46" s="4" t="s">
        <v>162</v>
      </c>
      <c r="G46" s="10" t="s">
        <v>163</v>
      </c>
      <c r="H46" s="7" t="s">
        <v>164</v>
      </c>
      <c r="I46" s="7" t="s">
        <v>165</v>
      </c>
      <c r="J46" s="7" t="s">
        <v>166</v>
      </c>
    </row>
    <row r="47" spans="2:10" ht="63.75" x14ac:dyDescent="0.25">
      <c r="B47" s="1">
        <f t="shared" si="5"/>
        <v>34</v>
      </c>
      <c r="C47" s="24">
        <v>3</v>
      </c>
      <c r="D47" s="3" t="s">
        <v>86</v>
      </c>
      <c r="E47" s="2">
        <v>1</v>
      </c>
      <c r="F47" s="4" t="s">
        <v>167</v>
      </c>
      <c r="G47" s="9" t="s">
        <v>168</v>
      </c>
      <c r="H47" s="3" t="s">
        <v>169</v>
      </c>
      <c r="I47" s="3" t="s">
        <v>170</v>
      </c>
      <c r="J47" s="3" t="s">
        <v>171</v>
      </c>
    </row>
    <row r="48" spans="2:10" ht="63.75" x14ac:dyDescent="0.25">
      <c r="B48" s="1">
        <f t="shared" si="5"/>
        <v>35</v>
      </c>
      <c r="C48" s="24">
        <v>3</v>
      </c>
      <c r="D48" s="3" t="s">
        <v>86</v>
      </c>
      <c r="E48" s="2">
        <v>1</v>
      </c>
      <c r="F48" s="4" t="s">
        <v>172</v>
      </c>
      <c r="G48" s="9" t="s">
        <v>173</v>
      </c>
      <c r="H48" s="3" t="s">
        <v>95</v>
      </c>
      <c r="I48" s="3" t="s">
        <v>174</v>
      </c>
      <c r="J48" s="3" t="s">
        <v>96</v>
      </c>
    </row>
    <row r="49" spans="2:10" ht="63.75" x14ac:dyDescent="0.25">
      <c r="B49" s="1">
        <f t="shared" si="5"/>
        <v>36</v>
      </c>
      <c r="C49" s="24">
        <v>3</v>
      </c>
      <c r="D49" s="3" t="s">
        <v>86</v>
      </c>
      <c r="E49" s="2">
        <v>1</v>
      </c>
      <c r="F49" s="4" t="s">
        <v>175</v>
      </c>
      <c r="G49" s="9" t="s">
        <v>176</v>
      </c>
      <c r="H49" s="3" t="s">
        <v>177</v>
      </c>
      <c r="I49" s="3" t="s">
        <v>178</v>
      </c>
      <c r="J49" s="3" t="s">
        <v>179</v>
      </c>
    </row>
    <row r="50" spans="2:10" ht="63.75" x14ac:dyDescent="0.25">
      <c r="B50" s="1">
        <f t="shared" si="5"/>
        <v>37</v>
      </c>
      <c r="C50" s="24">
        <v>3</v>
      </c>
      <c r="D50" s="3" t="s">
        <v>86</v>
      </c>
      <c r="E50" s="2">
        <v>2</v>
      </c>
      <c r="F50" s="4" t="s">
        <v>180</v>
      </c>
      <c r="G50" s="9" t="s">
        <v>181</v>
      </c>
      <c r="H50" s="3" t="s">
        <v>182</v>
      </c>
      <c r="I50" s="3" t="s">
        <v>183</v>
      </c>
      <c r="J50" s="3" t="s">
        <v>184</v>
      </c>
    </row>
    <row r="51" spans="2:10" ht="63.75" x14ac:dyDescent="0.25">
      <c r="B51" s="1">
        <f t="shared" si="5"/>
        <v>38</v>
      </c>
      <c r="C51" s="24">
        <v>3</v>
      </c>
      <c r="D51" s="3" t="s">
        <v>86</v>
      </c>
      <c r="E51" s="2">
        <v>2</v>
      </c>
      <c r="F51" s="4" t="s">
        <v>185</v>
      </c>
      <c r="G51" s="9" t="s">
        <v>186</v>
      </c>
      <c r="H51" s="3" t="s">
        <v>187</v>
      </c>
      <c r="I51" s="3" t="s">
        <v>188</v>
      </c>
      <c r="J51" s="3" t="s">
        <v>189</v>
      </c>
    </row>
    <row r="52" spans="2:10" ht="63.75" x14ac:dyDescent="0.25">
      <c r="B52" s="1">
        <f t="shared" si="5"/>
        <v>39</v>
      </c>
      <c r="C52" s="24">
        <v>3</v>
      </c>
      <c r="D52" s="3" t="s">
        <v>86</v>
      </c>
      <c r="E52" s="2">
        <v>2</v>
      </c>
      <c r="F52" s="4" t="s">
        <v>190</v>
      </c>
      <c r="G52" s="9" t="s">
        <v>191</v>
      </c>
      <c r="H52" s="3" t="s">
        <v>192</v>
      </c>
      <c r="I52" s="3" t="s">
        <v>193</v>
      </c>
      <c r="J52" s="3" t="s">
        <v>194</v>
      </c>
    </row>
    <row r="53" spans="2:10" ht="63.75" x14ac:dyDescent="0.25">
      <c r="B53" s="1">
        <f t="shared" si="5"/>
        <v>40</v>
      </c>
      <c r="C53" s="24">
        <v>3</v>
      </c>
      <c r="D53" s="3" t="s">
        <v>86</v>
      </c>
      <c r="E53" s="2">
        <v>2</v>
      </c>
      <c r="F53" s="4" t="s">
        <v>195</v>
      </c>
      <c r="G53" s="8" t="s">
        <v>196</v>
      </c>
      <c r="H53" s="6" t="s">
        <v>197</v>
      </c>
      <c r="I53" s="6" t="s">
        <v>198</v>
      </c>
      <c r="J53" s="6" t="s">
        <v>199</v>
      </c>
    </row>
    <row r="54" spans="2:10" ht="293.25" x14ac:dyDescent="0.25">
      <c r="B54" s="1">
        <f t="shared" si="5"/>
        <v>41</v>
      </c>
      <c r="C54" s="24">
        <v>3</v>
      </c>
      <c r="D54" s="3" t="s">
        <v>86</v>
      </c>
      <c r="E54" s="2">
        <v>3</v>
      </c>
      <c r="F54" s="4" t="s">
        <v>200</v>
      </c>
      <c r="G54" s="9" t="s">
        <v>201</v>
      </c>
      <c r="H54" s="3" t="s">
        <v>202</v>
      </c>
      <c r="I54" s="3" t="s">
        <v>203</v>
      </c>
      <c r="J54" s="3" t="s">
        <v>204</v>
      </c>
    </row>
    <row r="55" spans="2:10" ht="63.75" x14ac:dyDescent="0.25">
      <c r="B55" s="1">
        <f t="shared" si="5"/>
        <v>42</v>
      </c>
      <c r="C55" s="24">
        <v>3</v>
      </c>
      <c r="D55" s="3" t="s">
        <v>86</v>
      </c>
      <c r="E55" s="2">
        <v>3</v>
      </c>
      <c r="F55" s="4" t="s">
        <v>205</v>
      </c>
      <c r="G55" s="9" t="s">
        <v>206</v>
      </c>
      <c r="H55" s="3" t="s">
        <v>207</v>
      </c>
      <c r="I55" s="3" t="s">
        <v>208</v>
      </c>
      <c r="J55" s="3" t="s">
        <v>209</v>
      </c>
    </row>
    <row r="56" spans="2:10" ht="63.75" x14ac:dyDescent="0.25">
      <c r="B56" s="1">
        <f>ROW()-ROW($B$13)</f>
        <v>43</v>
      </c>
      <c r="C56" s="24">
        <v>3</v>
      </c>
      <c r="D56" s="3" t="s">
        <v>86</v>
      </c>
      <c r="E56" s="2">
        <v>3</v>
      </c>
      <c r="F56" s="4" t="s">
        <v>210</v>
      </c>
      <c r="G56" s="8" t="s">
        <v>211</v>
      </c>
      <c r="H56" s="6" t="s">
        <v>212</v>
      </c>
      <c r="I56" s="6" t="s">
        <v>213</v>
      </c>
      <c r="J56" s="6" t="s">
        <v>214</v>
      </c>
    </row>
    <row r="57" spans="2:10" ht="267.75" x14ac:dyDescent="0.25">
      <c r="B57" s="1">
        <f t="shared" ref="B57:B61" si="6">ROW()-ROW($B$13)</f>
        <v>44</v>
      </c>
      <c r="C57" s="24">
        <v>3</v>
      </c>
      <c r="D57" s="3" t="s">
        <v>86</v>
      </c>
      <c r="E57" s="2">
        <v>3</v>
      </c>
      <c r="F57" s="4" t="s">
        <v>215</v>
      </c>
      <c r="G57" s="9" t="s">
        <v>155</v>
      </c>
      <c r="H57" s="3" t="s">
        <v>216</v>
      </c>
      <c r="I57" s="3" t="s">
        <v>217</v>
      </c>
      <c r="J57" s="3" t="s">
        <v>67</v>
      </c>
    </row>
    <row r="58" spans="2:10" ht="63.75" x14ac:dyDescent="0.25">
      <c r="B58" s="1">
        <f t="shared" si="6"/>
        <v>45</v>
      </c>
      <c r="C58" s="24">
        <v>3</v>
      </c>
      <c r="D58" s="3" t="s">
        <v>86</v>
      </c>
      <c r="E58" s="2">
        <v>4</v>
      </c>
      <c r="F58" s="4" t="s">
        <v>218</v>
      </c>
      <c r="G58" s="9" t="s">
        <v>219</v>
      </c>
      <c r="H58" s="3" t="s">
        <v>220</v>
      </c>
      <c r="I58" s="3" t="s">
        <v>221</v>
      </c>
      <c r="J58" s="3" t="s">
        <v>222</v>
      </c>
    </row>
    <row r="59" spans="2:10" ht="255" x14ac:dyDescent="0.25">
      <c r="B59" s="1">
        <f t="shared" si="6"/>
        <v>46</v>
      </c>
      <c r="C59" s="24">
        <v>3</v>
      </c>
      <c r="D59" s="3" t="s">
        <v>86</v>
      </c>
      <c r="E59" s="2">
        <v>4</v>
      </c>
      <c r="F59" s="4" t="s">
        <v>223</v>
      </c>
      <c r="G59" s="9" t="s">
        <v>224</v>
      </c>
      <c r="H59" s="3" t="s">
        <v>225</v>
      </c>
      <c r="I59" s="3" t="s">
        <v>78</v>
      </c>
      <c r="J59" s="3" t="s">
        <v>226</v>
      </c>
    </row>
    <row r="60" spans="2:10" ht="63.75" x14ac:dyDescent="0.25">
      <c r="B60" s="1">
        <f t="shared" si="6"/>
        <v>47</v>
      </c>
      <c r="C60" s="24">
        <v>3</v>
      </c>
      <c r="D60" s="3" t="s">
        <v>86</v>
      </c>
      <c r="E60" s="2">
        <v>4</v>
      </c>
      <c r="F60" s="4" t="s">
        <v>227</v>
      </c>
      <c r="G60" s="9" t="s">
        <v>228</v>
      </c>
      <c r="H60" s="3" t="s">
        <v>229</v>
      </c>
      <c r="I60" s="3" t="s">
        <v>230</v>
      </c>
      <c r="J60" s="3" t="s">
        <v>231</v>
      </c>
    </row>
    <row r="61" spans="2:10" ht="267.75" x14ac:dyDescent="0.25">
      <c r="B61" s="1">
        <f t="shared" si="6"/>
        <v>48</v>
      </c>
      <c r="C61" s="24">
        <v>3</v>
      </c>
      <c r="D61" s="3" t="s">
        <v>86</v>
      </c>
      <c r="E61" s="2">
        <v>4</v>
      </c>
      <c r="F61" s="4" t="s">
        <v>232</v>
      </c>
      <c r="G61" s="9" t="s">
        <v>233</v>
      </c>
      <c r="H61" s="3" t="s">
        <v>234</v>
      </c>
      <c r="I61" s="3" t="s">
        <v>68</v>
      </c>
      <c r="J61" s="3" t="s">
        <v>235</v>
      </c>
    </row>
  </sheetData>
  <autoFilter ref="B13:M85" xr:uid="{B005C0B0-9D89-4729-AC6E-7F1010ED0730}"/>
  <mergeCells count="6">
    <mergeCell ref="F11:F12"/>
    <mergeCell ref="G11:J11"/>
    <mergeCell ref="B11:B12"/>
    <mergeCell ref="C11:C12"/>
    <mergeCell ref="D11:D12"/>
    <mergeCell ref="E11:E12"/>
  </mergeCells>
  <conditionalFormatting sqref="F6:H9">
    <cfRule type="expression" dxfId="0" priority="1">
      <formula>F6&lt;2</formula>
    </cfRule>
  </conditionalFormatting>
  <pageMargins left="0.7" right="0.7" top="0.75" bottom="0.75" header="0.3" footer="0.3"/>
  <pageSetup scale="32" orientation="portrait" horizontalDpi="1200" verticalDpi="1200" r:id="rId1"/>
  <colBreaks count="1" manualBreakCount="1">
    <brk id="10" max="1048575" man="1"/>
  </colBreaks>
</worksheet>
</file>

<file path=docMetadata/LabelInfo.xml><?xml version="1.0" encoding="utf-8"?>
<clbl:labelList xmlns:clbl="http://schemas.microsoft.com/office/2020/mipLabelMetadata">
  <clbl:label id="{732535c9-f902-4625-a19b-ab6863a159e8}" enabled="1" method="Privileged" siteId="{8bc01b57-838e-4194-982d-4c58278d0de3}"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P21</vt:lpstr>
      <vt:lpstr>'P21'!Print_Area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Nong Thi Huong</dc:creator>
  <cp:lastModifiedBy>Luan, Nguyen Thanh Luan</cp:lastModifiedBy>
  <cp:lastPrinted>2025-07-01T12:17:07Z</cp:lastPrinted>
  <dcterms:created xsi:type="dcterms:W3CDTF">2025-07-01T11:38:19Z</dcterms:created>
  <dcterms:modified xsi:type="dcterms:W3CDTF">2026-10-02T02:34:13Z</dcterms:modified>
</cp:coreProperties>
</file>