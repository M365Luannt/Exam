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D:\DGNL\QTHT v2\"/>
    </mc:Choice>
  </mc:AlternateContent>
  <xr:revisionPtr revIDLastSave="0" documentId="13_ncr:1_{F96D3F52-6180-45E6-83A4-DFFCC2F9B766}" xr6:coauthVersionLast="47" xr6:coauthVersionMax="47" xr10:uidLastSave="{00000000-0000-0000-0000-000000000000}"/>
  <bookViews>
    <workbookView xWindow="-120" yWindow="-120" windowWidth="29040" windowHeight="15720" firstSheet="1" activeTab="1" xr2:uid="{0A323993-6B0E-4465-9440-DABB234748ED}"/>
  </bookViews>
  <sheets>
    <sheet name="P20" sheetId="1" r:id="rId1"/>
    <sheet name="P20_final" sheetId="2" r:id="rId2"/>
  </sheets>
  <definedNames>
    <definedName name="_xlnm._FilterDatabase" localSheetId="0" hidden="1">'P20'!$B$13:$M$49</definedName>
    <definedName name="_xlnm._FilterDatabase" localSheetId="1" hidden="1">P20_final!$B$13:$M$49</definedName>
    <definedName name="_xlnm.Print_Area" localSheetId="0">'P20'!$B$1:$L$30</definedName>
    <definedName name="_xlnm.Print_Area" localSheetId="1">P20_final!$B$1:$L$30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9" i="2" l="1"/>
  <c r="B48" i="2"/>
  <c r="B47" i="2"/>
  <c r="B46" i="2"/>
  <c r="B45" i="2"/>
  <c r="B44" i="2"/>
  <c r="B43" i="2"/>
  <c r="B42" i="2"/>
  <c r="B41" i="2"/>
  <c r="B40" i="2"/>
  <c r="B39" i="2"/>
  <c r="B38" i="2"/>
  <c r="B37" i="2"/>
  <c r="B36" i="2"/>
  <c r="B35" i="2"/>
  <c r="B34" i="2"/>
  <c r="B33" i="2"/>
  <c r="B32" i="2"/>
  <c r="B31" i="2"/>
  <c r="B30" i="2"/>
  <c r="B29" i="2"/>
  <c r="B28" i="2"/>
  <c r="B27" i="2"/>
  <c r="B26" i="2"/>
  <c r="B25" i="2"/>
  <c r="B24" i="2"/>
  <c r="B23" i="2"/>
  <c r="B22" i="2"/>
  <c r="B21" i="2"/>
  <c r="B20" i="2"/>
  <c r="B19" i="2"/>
  <c r="B18" i="2"/>
  <c r="B17" i="2"/>
  <c r="B16" i="2"/>
  <c r="B15" i="2"/>
  <c r="B14" i="2"/>
  <c r="J13" i="2"/>
  <c r="I13" i="2"/>
  <c r="H13" i="2"/>
  <c r="G13" i="2"/>
  <c r="F13" i="2"/>
  <c r="E13" i="2"/>
  <c r="D13" i="2"/>
  <c r="C13" i="2"/>
  <c r="B13" i="2"/>
  <c r="I9" i="2"/>
  <c r="H9" i="2"/>
  <c r="G9" i="2"/>
  <c r="F9" i="2"/>
  <c r="E9" i="2" s="1"/>
  <c r="I8" i="2"/>
  <c r="H8" i="2"/>
  <c r="G8" i="2"/>
  <c r="F8" i="2"/>
  <c r="I7" i="2"/>
  <c r="H7" i="2"/>
  <c r="G7" i="2"/>
  <c r="F7" i="2"/>
  <c r="I6" i="2"/>
  <c r="H6" i="2"/>
  <c r="G6" i="2"/>
  <c r="G5" i="2" s="1"/>
  <c r="F6" i="2"/>
  <c r="E6" i="2" s="1"/>
  <c r="B31" i="1"/>
  <c r="I6" i="1"/>
  <c r="I7" i="1"/>
  <c r="I8" i="1"/>
  <c r="I9" i="1"/>
  <c r="H7" i="1"/>
  <c r="G7" i="1"/>
  <c r="G6" i="1"/>
  <c r="F6" i="1"/>
  <c r="B32" i="1"/>
  <c r="B33" i="1"/>
  <c r="B34" i="1"/>
  <c r="B35" i="1"/>
  <c r="B36" i="1"/>
  <c r="B37" i="1"/>
  <c r="B38" i="1"/>
  <c r="B39" i="1"/>
  <c r="B40" i="1"/>
  <c r="B41" i="1"/>
  <c r="B42" i="1"/>
  <c r="B43" i="1"/>
  <c r="B44" i="1"/>
  <c r="B45" i="1"/>
  <c r="B46" i="1"/>
  <c r="B47" i="1"/>
  <c r="B48" i="1"/>
  <c r="B49" i="1"/>
  <c r="H9" i="1"/>
  <c r="G9" i="1"/>
  <c r="F9" i="1"/>
  <c r="H8" i="1"/>
  <c r="G8" i="1"/>
  <c r="F8" i="1"/>
  <c r="F7" i="1"/>
  <c r="H6" i="1"/>
  <c r="H5" i="2" l="1"/>
  <c r="E7" i="2"/>
  <c r="I5" i="2"/>
  <c r="F5" i="2"/>
  <c r="E8" i="2"/>
  <c r="E5" i="2" s="1"/>
  <c r="E8" i="1"/>
  <c r="E9" i="1"/>
  <c r="E6" i="1"/>
  <c r="E7" i="1"/>
  <c r="I5" i="1"/>
  <c r="E5" i="1" l="1"/>
  <c r="B23" i="1"/>
  <c r="B22" i="1"/>
  <c r="B21" i="1"/>
  <c r="B20" i="1"/>
  <c r="B19" i="1"/>
  <c r="B18" i="1"/>
  <c r="B17" i="1"/>
  <c r="B16" i="1"/>
  <c r="B15" i="1"/>
  <c r="B14" i="1"/>
  <c r="B30" i="1"/>
  <c r="B29" i="1"/>
  <c r="B28" i="1"/>
  <c r="B27" i="1"/>
  <c r="B26" i="1"/>
  <c r="B25" i="1"/>
  <c r="B24" i="1"/>
  <c r="C13" i="1"/>
  <c r="D13" i="1"/>
  <c r="E13" i="1"/>
  <c r="F13" i="1"/>
  <c r="G13" i="1"/>
  <c r="H13" i="1"/>
  <c r="I13" i="1"/>
  <c r="J13" i="1"/>
  <c r="B13" i="1"/>
  <c r="G5" i="1" l="1"/>
  <c r="F5" i="1"/>
  <c r="H5" i="1"/>
</calcChain>
</file>

<file path=xl/sharedStrings.xml><?xml version="1.0" encoding="utf-8"?>
<sst xmlns="http://schemas.openxmlformats.org/spreadsheetml/2006/main" count="460" uniqueCount="214">
  <si>
    <t>P20 - Mua sắm</t>
  </si>
  <si>
    <t xml:space="preserve">                        Khía cạnh
   Cấp độ                    </t>
  </si>
  <si>
    <t>TỔNG</t>
  </si>
  <si>
    <t>STT</t>
  </si>
  <si>
    <t>Mã khía cạnh</t>
  </si>
  <si>
    <t>Khía cạnh</t>
  </si>
  <si>
    <t>Cấp độ</t>
  </si>
  <si>
    <t>Câu hỏi</t>
  </si>
  <si>
    <t>Đáp án</t>
  </si>
  <si>
    <t>Đáp án đúng</t>
  </si>
  <si>
    <t>Phương án sai  1</t>
  </si>
  <si>
    <t>Phương án sai 2</t>
  </si>
  <si>
    <t>Phương án sai 3</t>
  </si>
  <si>
    <t>Lập kế hoạch lựa chọn nhà cung cấp: Khả năng xác định phương thức và thời điểm mua sắm, đáp ứng nhu cầu đã duyệt, tuân thủ quy định và tối ưu chi phí, thời gian, nguồn lực</t>
  </si>
  <si>
    <t>Bạn được giao hỗ trợ xây dựng kế hoạch lựa chọn nhà cung cấp cho một hạng mục mua sắm CNTT. Theo quy trình tại Napas, bước khởi đầu quan trọng nhất bạn cần thực hiện là gì?</t>
  </si>
  <si>
    <t>Thu thập và tổng hợp thông tin cơ bản liên quan đến nhu cầu và nội dung mua sắm</t>
  </si>
  <si>
    <t>Liên hệ ngay với các nhà cung cấp quen biết để xin báo giá sơ bộ làm cơ sở xây dựng kế hoạch.</t>
  </si>
  <si>
    <t>Soạn sẵn tiêu chí đánh giá và mẫu HSMT trước khi nắm rõ nhu cầu và nội dung mua sắm.</t>
  </si>
  <si>
    <t>Tham khảo thêm ý kiến từ các hãng cung cấp sản phẩm trước khi xây dựng yêu cầu</t>
  </si>
  <si>
    <t>Khi nào là thời điểm thích hợp để xây dựng kế hoạch mua sắm?</t>
  </si>
  <si>
    <t>Trước khi phát sinh nhu cầu mua sắm</t>
  </si>
  <si>
    <t>Sau khi ký hợp đồng mua sắm</t>
  </si>
  <si>
    <t>Sau khi có yêu cầu cụ thể từ bộ phận quản lý</t>
  </si>
  <si>
    <t>Ngay khi bắt đầu kỳ tài chính mới</t>
  </si>
  <si>
    <t>Bạn được phân công lập kế hoạch mua sắm cho các thiết bị máy chủ, phần mềm quản lý và dịch vụ triển khai tích hợp. Theo quy trình Napas, điều nào sau đây là phù hợp nhất để tối ưu kế hoạch?</t>
  </si>
  <si>
    <t>Xây dựng kế hoạch chung cho cả nhóm hạng mục vì chúng liên quan về nội dung và thời điểm sử dụng</t>
  </si>
  <si>
    <t>Tách riêng kế hoạch mua sắm cho từng hạng mục để dễ quản lý, dù các hạng mục được sử dụng cùng thời điểm và phục vụ chung một hệ thống.</t>
  </si>
  <si>
    <t>Chờ hoàn thành xong phần mềm quản lý mới bắt đầu lập kế hoạch mua sắm máy chủ và dịch vụ triển khai.</t>
  </si>
  <si>
    <t>Lập kế hoạch mua sắm theo thứ tự ngân sách được phê duyệt, không cần xem xét mối liên hệ giữa các hạng mục thiết bị, phần mềm và dịch vụ triển khai.</t>
  </si>
  <si>
    <t>Khi xây dựng kế hoạch mua sắm cho một dự án đã được duyệt chủ trương tại Napas, yếu tố nào cần được đảm bảo để kế hoạch được thông qua</t>
  </si>
  <si>
    <t>Kế hoạch phải đầy đủ thông tin, bám sát nhu cầu đã được phê duyệt và tuân thủ quy định hiện hành</t>
  </si>
  <si>
    <t>Kế hoạch chỉ cần liệt kê sơ bộ danh mục cần mua, các thông tin chi tiết có thể bổ sung sau trong quá trình triển khai.</t>
  </si>
  <si>
    <t>Kế hoạch có thể linh hoạt điều chỉnh mục tiêu so với chủ trương ban đầu nếu nhóm thực hiện thấy cần thay đổi để phù hợp thực tế.</t>
  </si>
  <si>
    <t>Chỉ cần đảm bảo dự toán chi phí phù hợp ngân sách, các nội dung khác như hình thức mua sắm hay tiến độ có thể cập nhật sau.</t>
  </si>
  <si>
    <t>Bạn được yêu cầu rà soát lại kế hoạch mua sắm ban đầu cho một hệ thống giám sát an toàn thông tin. Đâu là cách tiếp cận đúng để tối ưu kế hoạch mua sắm?</t>
  </si>
  <si>
    <t>Phân tích lại thời gian sử dụng, lựa chọn hình thức mua sắm phù hợp và phối hợp với các đơn vị liên quan để đảm bảo tiến độ, tối ưu chi phí và sử dụng nguồn lực hiệu quả</t>
  </si>
  <si>
    <t>Giữ nguyên kế hoạch cũ để tránh phát sinh thay đổi và không cần phối hợp thêm với các đơn vị khác.</t>
  </si>
  <si>
    <t>Tập trung rà soát giá thiết bị là đủ, không cần xem xét tiến độ hay hình thức mua sắm.</t>
  </si>
  <si>
    <t>Ưu tiên mua sớm toàn bộ hạng mục dù chưa xác định rõ thời gian sử dụng và nhu cầu thực tế.</t>
  </si>
  <si>
    <t>Bạn nhận thấy kế hoạch lựa chọn nhà cung cấp cho một nhóm hạng mục đang tách nhỏ và xử lý riêng lẻ, dẫn đến trùng lặp chi phí, kéo dài thời gian thực hiện. Theo hướng tiếp cận tối ưu hóa, bạn nên xử lý thế nào?</t>
  </si>
  <si>
    <t>Đề xuất gộp các hạng mục có liên quan về thời gian và nội dung mua sắm vào cùng một kế hoạch, phân tích hình thức mua sắm phù hợp và phối hợp với các bên để đảm bảo hiệu quả tổng thể</t>
  </si>
  <si>
    <t>Tiếp tục thực hiện riêng lẻ từng hạng mục để đảm bảo dễ theo dõi và phân công công việc rõ ràng.</t>
  </si>
  <si>
    <t>Chờ hoàn tất từng kế hoạch nhỏ rồi mới tổng hợp lại nếu thấy cần thiết.</t>
  </si>
  <si>
    <t>Chuyển toàn bộ kế hoạch cho bộ phận khác xử lý để tránh phát sinh thêm trách nhiệm.</t>
  </si>
  <si>
    <t>Khi đang chấm thầu, bạn được yêu cầu lựa chọn nhà thầu cho một gói thầu quan trọng. Tuy nhiên, có thông tin rằng nhà thầu được lựa chọn có nguy cơ phá sản. Bạn nên thực hiện những hành động nào để giảm thiểu rủi ro cho dự án?</t>
  </si>
  <si>
    <t>Xác minh thông tin tài chính của nhà thầu và kiến nghị loại nếu rủi ro phá sản là có cơ sở; đồng thời báo cáo lên cấp thẩm quyền để xem xét lựa chọn phương án thay thế phù hợp</t>
  </si>
  <si>
    <t>Yêu cầu nhà thầu cung cấp thêm tài liệu chứng minh năng lực tài chính.</t>
  </si>
  <si>
    <t>Đánh giá nhà thầu đó không đạt, bất kể các yếu tố khác.</t>
  </si>
  <si>
    <t>Giữ nguyên danh sách nhà thầu mà không điều chỉnh nếu chưa có bằng chứng chính thức</t>
  </si>
  <si>
    <t>Trong một dự án mua sắm phức tạp, bạn phát hiện các yêu cầu từ các phòng ban có xung đột nghiêm trọng, gây nguy cơ chậm tiến độ. Để đảm bảo kế hoạch mua sắm được tối ưu, bạn cần thực hiện các bước nào?
1. Tổ chức họp để đánh giá chi tiết tất cả yêu cầu và các rủi ro phát sinh.
2. Ưu tiên các yêu cầu từ phòng ban có ảnh hưởng trực tiếp đến kết quả dự án, bỏ qua các yêu cầu không cấp thiết.
3. Phân tích các phương án thay thế để đảm bảo cân bằng giữa chi phí, thời gian và nguồn lực.
4. Thực hiện điều chỉnh kế hoạch mà không cần thông báo trước cho các bên liên quan nhằm tránh gây thêm xung đột.
5. Áp dụng nguyên tắc đồng thuận và đàm phán để đạt được giải pháp khả thi nhất cho tất cả các bên.
Lựa chọn đáp án:</t>
  </si>
  <si>
    <t>1 + 3 + 5</t>
  </si>
  <si>
    <t>1 + 2 + 3</t>
  </si>
  <si>
    <t>2 + 4 + 5</t>
  </si>
  <si>
    <t>3 + 4 +5</t>
  </si>
  <si>
    <t>Xây dựng hồ sơ mua sắm: Xây dựng hồ sơ lựa chọn ĐVCC tuân thủ quy định, phù hợp với hàng hóa/dịch vụ cần mua và cải tiến quy trình, thủ tục khi cần</t>
  </si>
  <si>
    <t>Khi điền thông tin vào hồ sơ yêu cầu mua sắm theo biểu mẫu tại Napas, yếu tố nào sau đây là cần thiết để đảm bảo hồ sơ được chấp nhận?</t>
  </si>
  <si>
    <t>Điền đầy đủ các thông tin được hướng dẫn và đảm bảo cấu trúc hồ sơ đúng theo mẫu quy định</t>
  </si>
  <si>
    <t>Chỉ cần điền những nội dung chính, các phần khác có thể bổ sung sau nếu cần.</t>
  </si>
  <si>
    <t>Tùy ý thay đổi cấu trúc biểu mẫu để phù hợp với cách trình bày cá nhân.</t>
  </si>
  <si>
    <t>Sử dụng mẫu cũ đã từng dùng trước đây mà không cần kiểm tra cập nhật mới nhất từ Napas.</t>
  </si>
  <si>
    <t>Mua sắm tập trung là gì?</t>
  </si>
  <si>
    <t>Là cách tổ chức đấu thầu rộng rãi, mục đích là để lựa chọn nhà thầu thông qua đơn vị mua sắm tập trung nhằm giảm chi phí, thời gian, đầu mối tổ chức đấu thầu, tăng tính chuyên nghiệp trong đấu thầu và góp phần tăng hiệu quả kinh tế</t>
  </si>
  <si>
    <t>Là cách tổ chức đấu thầu hạn chế, mục đích là để lựa chọn nhà thầu thông qua đơn vị mua sắm tập trung nhằm giảm chi phí, thời gian, đầu mối tổ chức đấu thầu, tăng tính chuyên nghiệp trong đấu thầu và góp phần tăng hiệu quả kinh tế</t>
  </si>
  <si>
    <t>Là cách tổ chức đấu thầu rộng rãi hoặc hạn chế, mục đích là để lựa chọn nhà thầu thông qua đơn vị mua sắm tập trung nhằm giảm chi phí, thời gian, đầu mối tổ chức đấu thầu, tăng tính chuyên nghiệp trong đấu thầu và góp phần tăng hiệu quả kinh tế</t>
  </si>
  <si>
    <t>Là cách tổ chức đấu thầu, mục đích là để lựa chọn nhà thầu thông qua đơn vị mua sắm tập trung nhằm giảm chi phí, thời gian, đầu mối tổ chức đấu thầu, tăng tính chuyên nghiệp trong đấu thầu và góp phần tăng hiệu quả kinh tế</t>
  </si>
  <si>
    <t>Để không gây hạn chế nhà thầu khi xây dựng Hồ sơ mời thầu cần chú ý điều gì?</t>
  </si>
  <si>
    <t>Xây dựng tiêu chí, yêu cầu kỹ thuật và năng lực dựa trên nhu cầu thực tế, đảm bảo minh bạch, không nêu đích danh thương hiệu, tránh quy định mang tính áp đặt</t>
  </si>
  <si>
    <t>Tăng yêu cầu năng lực ở mức cao để giảm bớt các nhà thầu nhỏ không đủ năng lực cung cấp</t>
  </si>
  <si>
    <t>Tình trạng tài chính của bên mua sắm.</t>
  </si>
  <si>
    <t>Các yêu cầu bổ sung sẽ được đưa ra sau khi mở thầu.</t>
  </si>
  <si>
    <t>Bộ Hồ sơ yêu cầu chào giá khi thực hiện mua sắm hàng hóa thường có các thông tin nào dưới đây?
(1) Giới thiệu về gói hàng: tên gói hàng, các yêu cầu chi tiết về gói hàng
(2) Yêu cầu về thành phần, hình thức, số lượng hồ sơ chào giá
(3) Danh sách ngắn nhà cung cấp
(4) Thời hạn nộp hồ sơ chào giá, hướng dẫn nộp hồ sơ chào giá</t>
  </si>
  <si>
    <t>(1), (2), (3), (4)</t>
  </si>
  <si>
    <t>(1), (2), (4)</t>
  </si>
  <si>
    <t>(1), (2), (3)</t>
  </si>
  <si>
    <t>(2), (3), (4)</t>
  </si>
  <si>
    <t>Trong một gói mua sắm hàng hóa theo phương pháp Chào giá cạnh tranh, nhóm mua sắm nhận được 5 Hồ sơ Chào giá. Giá chào lần lượt theo thứ tự từ thấp đến cao của 5 nhà cung cấp là A, B, C, D, E. Trong đó, Hồ sơ của Nhà cung cấp A thiếu các tài liệu: Bản sao ĐKKD, năng lực tài chính, kinh nghiệm, nhân lực.
Hành động nào sau đây của nhóm mua sắm đấu thầu là phù hợp nhất để đảm bảo quyền lợi cho Công ty?</t>
  </si>
  <si>
    <t>Yêu cầu Nhà cung cấp A  bổ sung các tài liệu chứng minh năng lực và kinh nghiệm còn thiếu, sau đó thực hiện tiếp các thủ tục tiếp theo</t>
  </si>
  <si>
    <t>Loại bỏ Nhà cung cấp A vì thiếu tài liệu và đề nghị trao hợp đồng cho Nhà thầu B vì có hồ sơ năng lực đầy đủ</t>
  </si>
  <si>
    <t>Đề nghị trao hợp đồng cho Nhà cung cấp A vì đây là Nhà thầu có giá thấp nhất, các hồ sơ còn thiếu có thể không cần bổ sung.</t>
  </si>
  <si>
    <t>Loại bỏ Nhà cung cấp A vì thiếu tài liệu và tiếp tục xem xét các nhà thầu khác theo thứ tự giá thấp nhất trước</t>
  </si>
  <si>
    <t>Trong trường hợp lập HSMT cho một gói thầu cung cấp phần mềm bảo mật, cần điều chỉnh những yếu tố nào trong mẫu chuẩn để đảm bảo phù hợp với yêu cầu kỹ thuật đã được phê duyệt?</t>
  </si>
  <si>
    <t>Chỉnh sửa các phần về tiêu chuẩn đánh giá kỹ thuật, mô tả chi tiết hàng hóa và điều kiện hợp đồng trong HSMT mẫu sao cho phù hợp với tính năng phần mềm yêu cầu.</t>
  </si>
  <si>
    <t>Giữ nguyên toàn bộ nội dung mẫu HSMT vì đã được ban hành, không cần điều chỉnh theo từng gói thầu.</t>
  </si>
  <si>
    <t>Chỉ cập nhật tên gói thầu và giá trị dự toán, các phần kỹ thuật để nguyên như mẫu.</t>
  </si>
  <si>
    <t>Bổ sung thêm yêu cầu kỹ thuật ngoài phạm vi được phê duyệt để tăng mức độ kiểm soát.</t>
  </si>
  <si>
    <t>NAPAS đang thực hiện dự án đầu tư phần mềm quản lý dòng tiền tích hợp với hệ thống chuyển mạch tài chính của công ty. Đây là loại phần mềm phức tạp, chưa có tiền lệ trong các dự án đầu tư trước đây. Tổ chuyên gia cần xây dựng hồ sơ lựa chọn nhà thầu phù hợp, đảm bảo các yếu tố pháp lý, kỹ thuật, và tính khả thi của dự án.
Những yếu tố nào dưới đây cần được đánh giá để điều chỉnh nội dung hồ sơ lựa chọn nhà thầu cho gói thầu thuộc dự án này?
1. Hiệu quả của các tiêu chí đánh giá nhà thầu trong các gói thầu thuộc dự án tương tự trước đây.
2. Khả năng tích hợp phần mềm với hệ thống hiện tại của NAPAS.
3. Phân tích các yêu cầu kỹ thuật chi tiết của phần mềm quản lý dòng tiền.
4. Điều chỉnh các điều khoản pháp lý trong hồ sơ để phù hợp với hợp đồng phần mềm.
5. Xem xét tính thực tế và khả thi của các điều khoản giao hàng và hỗ trợ kỹ thuật.
Phương án nào là phù hợp nhất để xây dựng hồ sơ lựa chọn nhà thầu tối ưu?</t>
  </si>
  <si>
    <t>(2), (3), (4), (5)</t>
  </si>
  <si>
    <t>(1), (2), (3), (5)</t>
  </si>
  <si>
    <t>(2), (3), (5)</t>
  </si>
  <si>
    <t>NAPAS đang tiến hành mua sắm một hệ thống thanh toán liên ngân hàng sử dụng công nghệ blockchain – một lĩnh vực mới chưa từng được công ty triển khai trước đây. Để đảm bảo hồ sơ mua sắm đáp ứng đầy đủ yêu cầu pháp lý và thực tế, đội ngũ phụ trách cần đánh giá, lựa chọn phương án xây dựng hồ sơ mua sắm tối ưu.
Những yếu tố nào dưới đây cần được xem xét khi đánh giá và xây dựng hồ sơ mua sắm cho trường hợp này?
(1) Phân tích mức độ tương thích của các quy định pháp luật hiện hành với công nghệ blockchain.
(2) So sánh ưu, nhược điểm của các biểu mẫu hồ sơ mua sắm đã sử dụng cho các dự án công nghệ thông tin khác của công ty.
(3) Đánh giá rủi ro tiềm ẩn trong việc lựa chọn nhà cung cấp sử dụng công nghệ mới.
(4) Đề xuất các điều khoản bổ sung trong hợp đồng nhằm bảo vệ lợi ích của công ty khi hợp tác với nhà cung cấp.
(5) Tham khảo ý kiến chuyên gia trong và ngoài công ty để hoàn thiện hồ sơ.
Phương án nào là phù hợp nhất để xây dựng hồ sơ mua sắm tối ưu?</t>
  </si>
  <si>
    <t>1, 3, 4, 5</t>
  </si>
  <si>
    <t>1, 2, 3, 4</t>
  </si>
  <si>
    <t>2, 3 và 4</t>
  </si>
  <si>
    <t>1, 3 và 4</t>
  </si>
  <si>
    <t>Một yêu cầu sửa đổi hồ sơ mua sắm cho NAPAS đã được đưa ra nhằm cải thiện quy trình đánh giá các nhà cung cấp, đặc biệt đối với các nhà cung cấp quốc tế. Các thay đổi sau đã được đề xuất:
1. Áp dụng các tiêu chuẩn quốc tế về bảo mật cho tất cả các hồ sơ liên quan đến nhà cung cấp công nghệ thông tin.
2. Cung cấp các điều khoản riêng biệt đối với các nhà cung cấp dịch vụ tại Việt Nam và quốc tế.
3. Bổ sung các quy định liên quan đến việc xác minh năng lực tài chính của các nhà cung cấp để giảm thiểu rủi ro trong các hợp đồng có giá trị lớn.
4. Sử dụng các mẫu hồ sơ đã có sẵn mà không cần điều chỉnh cho từng loại dịch vụ cụ thể.
5. Đảm bảo rằng các hồ sơ mua sắm được chuẩn bị đầy đủ và chính xác, không cần yêu cầu bổ sung tài liệu từ các nhà cung cấp.
Phương án nào phù hợp nhất khi hệ thống hóa tiêu chí lập hồ sơ mua sắm cho NAPAS trong trường hợp này?</t>
  </si>
  <si>
    <t>1, 2 và 3</t>
  </si>
  <si>
    <t>2, 3 và 5</t>
  </si>
  <si>
    <t>1, 4 và 5</t>
  </si>
  <si>
    <t>3, 4 và 5</t>
  </si>
  <si>
    <t>NAPAS cần hệ thống hóa các nguyên tắc lập hồ sơ lựa chọn ĐVCC/nhà thầu cho tất cả các loại hình mua sắm từ dịch vụ công nghệ thông tin đến thiết bị văn phòng. Mục tiêu là đảm bảo tính minh bạch, hiệu quả, và phù hợp với các quy định pháp lý của Việt Nam. Sau khi xem xét các yêu cầu và quy trình hiện tại, nhóm mua sắm đưa ra các đề xuất sửa đổi. Các điểm sau đã được xác định:
1. Lập các tiêu chí đánh giá nhà cung cấp (ĐVCC) cần dựa trên một bảng mẫu thống nhất cho tất cả các hạng mục mua sắm.
2. Cập nhật các yêu cầu đối với các nhà cung cấp dịch vụ CNTT để bao gồm các điều khoản về bảo mật và quyền sở hữu trí tuệ.
3. Điều chỉnh các quy định để dễ dàng áp dụng trong trường hợp mua sắm có yếu tố quốc tế, với các điều khoản có thể thay đổi theo quốc gia và địa phương.
4. Cải tiến quy trình kiểm tra năng lực tài chính của nhà cung cấp nhằm giảm thiểu rủi ro trong các giao dịch có giá trị lớn.
5. Áp dụng các mẫu hồ sơ mới cho tất cả các nhà cung cấp mà không cần xem xét cụ thể yêu cầu của từng loại dịch vụ hoặc sản phẩm.
Những yếu tố sau đây là cần thiết trong việc hệ thống hóa tiêu chí lập hồ sơ lựa chọn ĐVCC/nhà thầu cho công ty:
1. Đảm bảo tính đồng bộ giữa các tiêu chí đánh giá nhà cung cấp cho mọi loại hình mua sắm.
2. Đảm bảo tính linh hoạt trong các yêu cầu đối với nhà cung cấp quốc tế để đáp ứng các quy định quốc gia.
3. Cung cấp các biểu mẫu có sẵn, không yêu cầu điều chỉnh đối với các trường hợp đặc biệt.
4. Đảm bảo quy trình mua sắm có thể áp dụng cho mọi loại hình dịch vụ, sản phẩm mà không cần điều chỉnh trong các tình huống đặc biệt.
5. Đảm bảo tất cả các yêu cầu về bảo mật, quyền sở hữu trí tuệ đều được ghi nhận trong hồ sơ mua sắm.
Phương án nào là phù hợp để hệ thống hóa tiêu chí lập hồ sơ mua sắm?</t>
  </si>
  <si>
    <t>1, 2 và 5</t>
  </si>
  <si>
    <t>1, 2 và 4</t>
  </si>
  <si>
    <t>Lựa chọn nhà cung cấp: Đánh giá, lựa chọn nhà cung cấp phù hợp và hoàn thiện hồ sơ, thủ tục theo quy định</t>
  </si>
  <si>
    <t>Bạn lần đầu được giao hỗ trợ đánh giá hồ sơ dự thầu trong một gói thầu cung cấp dịch vụ CNTT. Theo quy trình tại Napas, đâu là cách tiếp cận phù hợp khi thực hiện nhiệm vụ này?</t>
  </si>
  <si>
    <t>Tham khảo tiêu chí đánh giá có sẵn trong hồ sơ mời thầu và kiểm tra từng nội dung hồ sơ dự thầu dưới sự hướng dẫn của người có kinh nghiệm trong tổ chuyên gia.</t>
  </si>
  <si>
    <t>Tự đánh giá theo cảm nhận cá nhân vì chưa có nhiều kinh nghiệm nên không cần quá chi tiết.</t>
  </si>
  <si>
    <t>Chỉ kiểm tra phần kỹ thuật, bỏ qua phần năng lực và kinh nghiệm của nhà thầu.</t>
  </si>
  <si>
    <t>Dựa vào đánh giá của các thành viên khác trong tổ chuyên gia mà không cần đọc kỹ hồ sơ dự thầu.</t>
  </si>
  <si>
    <t>Khi đánh giá hồ sơ đề xuất/hồ sơ dự thầu của nhà cung cấp/nhà thầu, bạn cần tập trung vào tiêu chí nào sau đây?
1. Năng lực và kinh nghiệm của nhà thầu/ĐVCC
2. Tiêu chuẩn đánh giá về kỹ thuật
3. Thư hỗ trợ của hãng đối với gói hàng hóa
4. Bằng cấp chứng chỉ của nhân sự chủ chốt đối với các gói hàng hóa
5. Tính minh bạch và uy tín của nhà thầu/ĐVCC</t>
  </si>
  <si>
    <t>Khi đánh giá hồ sơ tham dự mua sắm của nhà cung cấp, bạn cần tập trung vào tiêu chí nào sau đây?</t>
  </si>
  <si>
    <t>Tính hợp lệ của các tài liệu theo tiêu chuẩn hồ sơ mua sắm.</t>
  </si>
  <si>
    <t>Thông tin chi tiết về số lượng nhân viên của nhà cung cấp.</t>
  </si>
  <si>
    <t>Kế hoạch chiến lược dài hạn của nhà cung cấp.</t>
  </si>
  <si>
    <t>Uy tín của nhà cung cấp qua các đánh giá trên các phương tiện truyền thông.</t>
  </si>
  <si>
    <t>Khi tham gia vào quá trình đánh giá hồ sơ chào hàng, bạn được yêu cầu hỗ trợ so sánh các nhà cung cấp. Cách tiếp cận nào sau đây thể hiện đúng vai trò hỗ trợ ở cấp độ cơ bản?</t>
  </si>
  <si>
    <t>So sánh các hồ sơ nhà cung cấp theo tiêu chí định sẵn và ghi lại kết quả để báo cáo cho người phụ trách ra quyết định.</t>
  </si>
  <si>
    <t>Chọn nhà cung cấp có đơn giá thấp nhất mà không cần xem xét các tiêu chí khác.</t>
  </si>
  <si>
    <t>Tự đưa ra quyết định lựa chọn nhà cung cấp nếu thấy hợp lý, không cần báo cáo.</t>
  </si>
  <si>
    <t>So sánh dựa trên cảm nhận cá nhân và kinh nghiệm trước đó, không cần theo tiêu chí định sẵn.</t>
  </si>
  <si>
    <t xml:space="preserve">Bạn được phân công đánh giá hồ sơ dự thầu của nhà cung cấp trong một gói dịch vụ CNTT. Theo quy chế của Napas, khi thực hiện việc này, yếu tố nào sau đây phản ánh đúng vai trò của bạn?
</t>
  </si>
  <si>
    <t>Thực hiện đánh giá độc lập từng hồ sơ theo tiêu chí được phê duyệt trong HSMT, bao gồm năng lực, kinh nghiệm, giải pháp kỹ thuật và giá dự thầu.</t>
  </si>
  <si>
    <t>Tham khảo ý kiến các thành viên khác trước khi đánh giá để đảm bảo thống nhất quan điểm.</t>
  </si>
  <si>
    <t>Chỉ tập trung đánh giá phần giá dự thầu vì các yếu tố khác không quá quan trọng.</t>
  </si>
  <si>
    <t>Ưu tiên nhà cung cấp quen biết nếu hồ sơ của họ không chênh lệch nhiều so với các bên khác.</t>
  </si>
  <si>
    <t>Trong quá trình đánh giá hồ sơ chào giá, bạn phát hiện hai tài liệu của nhà cung cấp chứa thông tin không khớp về giá trị hợp đồng đã thực hiện. Bạn nên làm gì để xử lý tình huống này?</t>
  </si>
  <si>
    <t>Yêu cầu nhà cung cấp giải thích và bổ sung tài liệu làm rõ thông tin.</t>
  </si>
  <si>
    <t>Loại bỏ hồ sơ của nhà cung cấp do không đảm bảo tính trung thực.</t>
  </si>
  <si>
    <t>Tạm dừng đánh giá hồ sơ để xin ý kiến từ cấp trên.</t>
  </si>
  <si>
    <t>Tiếp tục đánh giá các tiêu chí khác và không xét đến thông tin mâu thuẫn này.</t>
  </si>
  <si>
    <t xml:space="preserve">Bạn được giao xây dựng kế hoạch lựa chọn nhà cung cấp cho 3 gói thầu với tính chất khác nhau (1 gói phần mềm chuyên dụng, 1 gói thiết bị văn phòng, 1 gói dịch vụ vận hành bảo mật). Đâu là cách tiếp cận phù hợp?
</t>
  </si>
  <si>
    <t>Phân tích đặc điểm từng gói để lựa chọn hình thức và quy trình đánh giá phù hợp (đấu thầu rộng rãi với dịch vụ bảo mật, chào hàng cạnh tranh với thiết bị phổ thông...), đồng thời xây dựng tiêu chí đánh giá sát với từng loại.</t>
  </si>
  <si>
    <t>Áp dụng cùng một hình thức lựa chọn nhà cung cấp cho cả 3 gói để đảm bảo quy trình thống nhất và dễ kiểm soát.</t>
  </si>
  <si>
    <t>Ưu tiên sử dụng chào hàng cạnh tranh cho cả 3 gói vì đây là hình thức nhanh và dễ thực hiện, kể cả với dịch vụ kỹ thuật cao.</t>
  </si>
  <si>
    <t>Tập trung xây dựng tiêu chí chung cho cả 3 gói để tiết kiệm thời gian, chỉ cần điều chỉnh nhẹ phần kỹ thuật nếu cần thiết.</t>
  </si>
  <si>
    <t>Trong quá trình đánh giá hồ sơ dự thầu cho một gói dịch vụ triển khai hệ thống giám sát an toàn thông tin, tổ chuyên gia phát hiện nhà thầu A không nêu rõ phương pháp triển khai chi tiết trong phần giải pháp kỹ thuật, dù hồ sơ đáp ứng các tiêu chí khác. Đây là tình huống chưa có tiền lệ tương tự. Là người có trách nhiệm trong tổ chuyên gia, bạn nên thực hiện bước nào để xử lý tình huống nêu trên một cách phù hợp với quy định và mục tiêu tối ưu hóa quá trình lựa chọn nhà cung cấp?</t>
  </si>
  <si>
    <t>Phân tích ảnh hưởng của thiếu thông tin kỹ thuật, đề xuất làm rõ theo quy trình quy định, và rà soát biểu mẫu để bổ sung nếu chưa phù hợp với đặc thù gói thầu.</t>
  </si>
  <si>
    <t>Chấp nhận hồ sơ vì nhà thầu đáp ứng các tiêu chí khác, phần thiếu có thể bổ sung sau khi trúng thầu.</t>
  </si>
  <si>
    <t>Loại hồ sơ do không đáp ứng đầy đủ nội dung kỹ thuật, tránh làm phức tạp quy trình đánh giá.</t>
  </si>
  <si>
    <t>Chỉnh sửa nội dung đánh giá để giả định phương pháp triển khai hợp lý, đảm bảo đủ căn cứ cho xếp hạng nhà thầu.</t>
  </si>
  <si>
    <t>Công ty NAPAS đang triển khai gói thầu cung cấp dịch vụ phần mềm bảo mật thanh toán, nhưng các tiêu chí đánh giá nhà cung cấp hiện tại được phản ánh là không phù hợp với yêu cầu bảo mật cao của ngành tài chính. Bạn được giao nhiệm vụ xây dựng nguyên tắc điều chỉnh tiêu chí đánh giá để đảm bảo phù hợp với quy định pháp luật, chính sách nội bộ và tình huống thực tế.
Những hành động sau có thể được xem xét:
1. Tăng cường yêu cầu về chứng nhận bảo mật quốc tế như PCI DSS hoặc ISO 27001.
2. Loại bỏ các tiêu chí không liên quan đến bảo mật hoặc ít ảnh hưởng đến dịch vụ.
3. Tham khảo quy định pháp luật về các tiêu chuẩn bảo mật trong lĩnh vực tài chính để bổ sung vào tiêu chí.
4. Đề xuất tổ chức phiên thảo luận nội bộ để thống nhất tiêu chí với các phòng ban liên quan.
5. Áp dụng thẳng các tiêu chuẩn bảo mật từ nhà cung cấp đã được chứng minh hiệu quả trước đó.
Phương án nào phù hợp nhất để hoàn thiện nguyên tắc điều chỉnh tiêu chí đánh giá?</t>
  </si>
  <si>
    <t>2, 4 và 5</t>
  </si>
  <si>
    <t>NAPAS đang đối mặt với một trường hợp mua sắm phức tạp khi có hai nhà cung cấp đạt yêu cầu kỹ thuật nhưng giá thầu chênh lệch nhau đáng kể. Quy trình lựa chọn hiện tại không quy định rõ cách xử lý trường hợp này. Bạn được giao xây dựng nguyên tắc để giải quyết, đảm bảo minh bạch và tối ưu chi phí.
Những hành động sau có thể được xem xét:
1. Đánh giá thêm các yếu tố ngoài giá thầu như chi phí vận hành và bảo trì.
2. Mời các nhà cung cấp cung cấp giải trình chi tiết về giá thầu của họ.
3. Tổ chức buổi họp đánh giá với sự tham gia của các phòng ban liên quan để đảm bảo khách quan.
4. Áp dụng nguyên tắc lựa chọn giá thấp nhất để đảm bảo tối ưu chi phí.
5. Đề xuất thiết lập các tiêu chí bổ sung về năng lực lâu dài của nhà cung cấp.
Phương án nào phù hợp nhất để xây dựng nguyên tắc xử lý?</t>
  </si>
  <si>
    <t xml:space="preserve">Xử lý tình huống: Xử lý các tình huống phát sinh trong mua sắm
</t>
  </si>
  <si>
    <t>Nhận định nào sau đây là đúng về xử lý tình huống trong đấu thầu?</t>
  </si>
  <si>
    <t>Người quyết định xử lý tình huống phải chịu trách nhiệm trước pháp luật và Công ty về quyết định của mình trên cơ sở bảo đảm các nguyên tắc cạnh tranh, công bằng, minh bạch và hiệu quả kinh tế.</t>
  </si>
  <si>
    <t>Xử lý tình huống là việc giải quyết trường hợp phát sinh trong mua sắm, đấu thầu đã được quy định cụ thể, rõ ràng trong pháp luật về đấu thầu.</t>
  </si>
  <si>
    <t>Việc xử lý tình huống chỉ cần dựa trên hợp đồng đã ký kết với nhà thầu và tình hình thực tế triển khai thực hiện gói thầu, dự án.</t>
  </si>
  <si>
    <t>Việc xử lý tình huống cần đảm bảo nguyên tắc cạnh tranh và mang lại hiệu quả kinh tế cao nhất cho chủ đầu tư</t>
  </si>
  <si>
    <t>Việc yêu cầu phát hành Bảo đảm thực hiện hợp đồng thường được áp dụng đối với các nhà thầu cung cấp sản phẩm, dịch vụ nào?</t>
  </si>
  <si>
    <t>Bảo đảm thực hiện hợp đồng áp dụng đối với tất cả các nhà thầu được lựa chọn, trừ nhà thầu cung cấp dịch vụ tư vấn, nhà thầu được lựa chọn theo hình thức tự thực hiện và tham gia thực hiện của cộng đồng</t>
  </si>
  <si>
    <t>Bảo đảm thực hiện hợp đồng áp dụng đối với tất cả các nhà thầu khi ký kết hợp đồng thực hiện gói thầu</t>
  </si>
  <si>
    <t>Bảo đảm thực hiện hợp đồng áp dụng đối với tất cả các nhà thầu, trừ nhà thầu cung cấp dịch vụ tư vấn</t>
  </si>
  <si>
    <t>Bảo đảm thực hiện hợp đồng áp dụng đối với tất cả các nhà thầu, trừ nhà thầu cung cấp dịch vụ tư vấn, nhà thầu được lựa chọn theo hình thức tự thực hiện</t>
  </si>
  <si>
    <t>Bạn đang lập hồ sơ mua sắm thì phát hiện giá dự toán được duyệt trước đó không còn phù hợp do biến động thị trường. Đây là tình huống từng được xử lý ở các gói khác. Bạn nên đề xuất xử lý như thế nào?</t>
  </si>
  <si>
    <t>Tham khảo quy định tại Napas về điều chỉnh giá gói thầu, đối chiếu với tình huống tương tự đã được xử lý trước đây để đề xuất cập nhật lại dự toán và làm rõ với đơn vị thẩm định.</t>
  </si>
  <si>
    <t>Tham khảo giá thị trường và điều chỉnh lại giá dự toán, sau đó cập nhật trực tiếp vào hồ sơ mà không cần xin ý kiến thẩm định.</t>
  </si>
  <si>
    <t>Tự điều chỉnh giá dự toán theo giá thị trường mà không cần báo cáo hay thẩm định lại.</t>
  </si>
  <si>
    <t>Liên hệ đơn vị thẩm định đề nghị duyệt nhanh giá mới, không cần đối chiếu với quy định hay các tình huống xử lý trước đó.</t>
  </si>
  <si>
    <t>Phương pháp lựa chọn nhà thầu theo giá thấp nhất (nhà thầu có giá thấp nhất được lựa chọn) thường được áp dụng nhiều nhất trong trường hợp nào?</t>
  </si>
  <si>
    <t>Phương pháp giá thấp nhất áp dụng cho gói thầu phi tư vấn, hàng hóa, xây lắp, hỗn hợp khi các đề xuất tương đương về kỹ thuật; hoặc gói tư vấn đơn giản, có tiêu chuẩn thực hiện rõ ràng.</t>
  </si>
  <si>
    <t>Áp dụng cho mọi gói thầu để đảm bảo hiệu quả chi phí, không cần phân biệt loại hình hay mức độ phức tạp.</t>
  </si>
  <si>
    <t>Áp dụng phổ biến cho các gói tư vấn có tính sáng tạo cao để chọn được giải pháp tối ưu với chi phí thấp.</t>
  </si>
  <si>
    <t>Chỉ áp dụng khi tất cả nhà thầu có hồ sơ kỹ thuật giống nhau hoàn toàn và cùng đề xuất tiến độ thi công.</t>
  </si>
  <si>
    <t>Gói thầu A có giá gói thầu là 10 tỷ đồng, hình thức lựa chọn nhà thầu là đấu thầu rộng rãi theo hình thức một giai đoạn hai túi hồ sơ, và phương pháp sử dụng là Đánh giá về giá theo quy định của Luật đấu thầu. Trong gói thầu A có vật tư X thuộc về 2 hệ thống khác nhau là hệ thống Y và hệ thống Z (theo danh mục chi tiết của gói thầu).  
Tại thời điểm đóng thầu có 5 nhà thầu tham dự. Có 3 nhà thầu vượt qua bước đánh giá về kỹ thuật (nhà thầu số 1, nhà thầu số 2, nhà thầu số 3) và 2 nhà thầu bị loại từ bước đánh giá về năng lực kinh nghiệm. 
Giá dự thầu ghi tại đơn dự thầu của các nhà thầu vượt qua bước đánh giá về kỹ thuật như sau: 
- Nhà thầu số 1 là 6,8 tỷ đồng; 
- Nhà thầu số 2 là 6,95 tỷ đồng; 
- Nhà thầu số 3 là 7,4 tỷ đồng.
Sau khi chuyển sang giai đoạn mở gói hồ sơ tài chính các thành viên tổ chuyên gia xét thầu phát hiện:
1. Nhà thầu số 1: Cùng một loại vật tư X nhưng đơn giá chào cho hai hệ thống Y và Z lại có sự khác biệt. Cụ thể: Đơn giá chào vật tư X cho hệ thống Y là 1.850.000 đồng; và cho hệ thống Z là 1.800.000 đồng.
2. Nhà thầu số 2: Có sự khác biệt về đơn giá tương tự Nhà thầu 1. Cụ thể: Đơn giá chào cho hệ thống Y là 1.915.000 đồng; hệ thống Z là 1.786.000 đồng.
3. Nhà thầu số 3: Chào đồng nhất đơn giá trên hai hệ thống cho vật tư X là 1.950.000 đồng
Trong trường hợp này, hành động nào của Tổ đấu thầu được xem là phù hợp để đảm bảo quyền lợi cho Công ty và không vi phạm quy định?</t>
  </si>
  <si>
    <t>Làm rõ đơn giá chào thầu đối với nhà thầu số 1 và nhà thầu số 2. Yêu cầu giải thích vì sao lại có sự chênh lệch đơn giá dự thầu. Có thể đàm phán yêu cầu nhà thầu đưa về mặt bằng giá thấp nhất. Sau khi có văn bản làm rõ hồ sơ dự thầu và điều chỉnh đơn giá (nếu có) của nhà thầu thì thì tính lại giá đánh giá và tiến hành đánh giá, xếp hạng các nhà thầu.</t>
  </si>
  <si>
    <t>Loại nhà thầu số 1 và nhà thầu số 2 do chào hai giá gây bất lợi cho bên mời thầu, kiến nghị nhà thầu trúng thầu là nhà thầu số 3.</t>
  </si>
  <si>
    <t>Tiến hành kiến nghị xếp hạng nhà thầu và mời nhà thầu xếp hạng thứ nhất (nhà thầu số 1) vào thương thảo hợp đồng. Trong quá trình thương thảo thì yêu cầu nhà thầu điều chỉnh đơn giá vật tư X về giá thấp nhất là 1.800.000 đồng cho hệ thống Y. Nếu Nhà thầu 1 không đồng ý thì</t>
  </si>
  <si>
    <t>Làm công văn yêu cầu nhà thầu 1 và nhà thầu 2 có văn bản điều chỉnh đơn giá vật tư X về đơn giá thấp nhất. Nếu nhà thầu không đồng ý điều chỉnh sẽ bị loại vì chào giá không thống nhất. Nếu nhà thầu đồng ý điều chỉnh thì tính lại giá đánh giá và tiến hành đánh giá, xếp hạng các nhà thầu.</t>
  </si>
  <si>
    <t xml:space="preserve">Trong quá trình thẩm định hồ sơ mua sắm, bạn phát hiện một hạng mục bị trùng với nội dung của một kế hoạch đầu tư đã được phê duyệt gần đây. Tình huống này có thể gây dư thừa ngân sách hoặc chồng chéo triển khai. Theo yêu cầu xử lý cấp độ cao, bạn nên hành động như thế nào?
</t>
  </si>
  <si>
    <t>Phân tích mức độ trùng lặp, đối chiếu với kế hoạch đầu tư hiện tại và đề xuất phương án điều chỉnh hồ sơ hoặc hợp nhất nội dung với các bên liên quan để tối ưu nguồn lực và loại bỏ rủi ro chồng lặp.</t>
  </si>
  <si>
    <t>Tiếp tục thẩm định như bình thường vì kế hoạch đầu tư trước chưa triển khai, có thể xử lý sau nếu phát sinh chồng lặp.</t>
  </si>
  <si>
    <t>Ghi nhận nội dung trùng lặp vào phần kiến nghị nhưng không cần điều chỉnh hồ sơ, để cấp phê duyệt tự xem xét xử lý.</t>
  </si>
  <si>
    <t>Tạm bỏ qua hạng mục trùng lặp và đề xuất loại khỏi hồ sơ mà không cần trao đổi với đơn vị lập kế hoạch để tránh kéo dài thời gian xử lý.</t>
  </si>
  <si>
    <t>Trong quá trình thực hiện mua sắm tài sản cho công ty NAPAS, bộ phận mua sắm phát hiện một số sai sót phổ biến trong quy trình. Sau khi điều tra, các lỗi này được phát hiện ở các bước khác nhau, ảnh hưởng đến hiệu quả hoạt động của công ty. Dưới đây là một số lỗi và sai sót thường gặp trong quy trình mua sắm tại công ty:
1. Thiếu đánh giá kỹ lưỡng các nhà cung cấp, dẫn đến việc chọn lựa nhà cung cấp không có năng lực hoặc không phù hợp với yêu cầu của công ty.
2. Thiếu các tiêu chí rõ ràng để đánh giá chất lượng và giá cả của các sản phẩm/dịch vụ, gây ra sự lãng phí ngân sách.
3. Quá trình phê duyệt không chặt chẽ, dẫn đến việc phê duyệt các đơn hàng không tuân thủ chính sách tài chính của công ty.
4. Không theo dõi được tiến độ giao hàng, gây ra sự chậm trễ trong việc cung cấp các tài sản cần thiết cho hoạt động của công ty.
5. Thiếu sự phối hợp giữa các bộ phận (mua sắm, tài chính, và kế toán), dẫn đến việc thiếu sót trong việc xử lý các hóa đơn và thanh toán.
Phương án nào là đúng?</t>
  </si>
  <si>
    <t xml:space="preserve">Tất cả các lỗi và sai sót được liệt kê đều là lỗi đúng và hợp lý </t>
  </si>
  <si>
    <t>Trong quá trình thực hiện mua sắm thiết bị mạng cho công ty, một số sai sót nghiêm trọng đã xảy ra, ảnh hưởng đến chất lượng và tiến độ của dự án. Các vấn đề đã được nhận diện như sau:
1. Quy trình lựa chọn nhà cung cấp thiếu sự tham gia của các bộ phận liên quan, dẫn đến việc lựa chọn nhà cung cấp không tối ưu.
2. Chưa thực hiện đầy đủ việc đánh giá các yếu tố kỹ thuật và tài chính của nhà cung cấp trước khi ký hợp đồng.
3. Các điều khoản hợp đồng về tiến độ và thanh toán không được làm rõ, dẫn đến sự hiểu lầm giữa các bên liên quan.
4. Quá trình giám sát và kiểm tra chất lượng của các thiết bị cung cấp không được thực hiện đầy đủ, khiến cho một số thiết bị không đạt yêu cầu kỹ thuật.
5. Việc tổng kết và chia sẻ bài học kinh nghiệm sau khi hoàn thành dự án không được thực hiện, dẫn đến việc tái diễn những sai sót tương tự trong các dự án sau.
Phương án nào là các giải pháp cần áp dụng để cải thiện quy trình mua sắm trong tình huống này?</t>
  </si>
  <si>
    <t>1.  Thiết lập quy trình lựa chọn nhà cung cấp có sự tham gia của nhiều bộ phận
2. Thực hiện đầy đủ các bước đánh giá kỹ thuật và tài chính trước khi ký hợp đồng
3. Soạn thảo hợp đồng chặt chẽ, rõ ràng về tiến độ và thanh toán.
4. Tăng cường giám sát và kiểm tra chất lượng thiết bị
5. Tổng kết và chia sẻ bài học kinh nghiệm sau dự án</t>
  </si>
  <si>
    <t>1. Giao toàn bộ quyền lựa chọn nhà cung cấp cho bộ phận mua sắm để đảm bảo tính tập trung.
2. Ưu tiên ký hợp đồng nhanh để đảm bảo tiến độ, đánh giá chi tiết có thể thực hiện sau.
3. Sử dụng hợp đồng mẫu chung cho tất cả các loại gói thầu để tiết kiệm thời gian.
4. Kiểm tra chất lượng thiết bị sau khi đã bàn giao và sử dụng để đánh giá thực tế.
5. Tập trung vào triển khai dự án mới thay vì tổng kết kinh nghiệm đã làm.</t>
  </si>
  <si>
    <t>1. Mỗi bộ phận tự đề xuất nhà cung cấp riêng, bộ phận mua sắm chỉ cần tổng hợp.
2. Ưu tiên các nhà cung cấp có giá thấp nhất, phần kỹ thuật có thể điều chỉnh sau.
3. Chỉ cần thể hiện tổng giá trị và thời gian thanh toán trong hợp đồng, không cần chi tiết tiến độ.
4. Chấp nhận một số sai số kỹ thuật trong thiết bị để đảm bảo tiến độ chung.
5. Ghi nhận lỗi nội bộ mà không cần chia sẻ rộng để tránh ảnh hưởng đến danh tiếng đơn vị.</t>
  </si>
  <si>
    <t>1. Chọn nhà cung cấp có kinh nghiệm làm với công ty trước đây để giảm thời gian đánh giá.
2. Tin tưởng vào năng lực nhà cung cấp nên không cần đánh giá kỹ về tài chính.
3. Đàm phán hợp đồng linh hoạt bằng văn bản email để xử lý nhanh tiến độ.
4. Giám sát theo định kỳ hàng quý.
5. Lưu trữ bài học kinh nghiệm nội bộ trong bộ phận mua sắm, không cần phổ biến toàn công ty.</t>
  </si>
  <si>
    <t>1, 2, 3, 4 và 5</t>
  </si>
  <si>
    <r>
      <t xml:space="preserve">Bạn được giao hỗ trợ </t>
    </r>
    <r>
      <rPr>
        <b/>
        <sz val="10"/>
        <color theme="1"/>
        <rFont val="Arial"/>
        <family val="2"/>
      </rPr>
      <t>xây dựng kế hoạch lựa chọn</t>
    </r>
    <r>
      <rPr>
        <sz val="10"/>
        <color theme="1"/>
        <rFont val="Arial"/>
        <family val="2"/>
      </rPr>
      <t xml:space="preserve"> nhà cung cấp cho một hạng mục mua sắm CNTT. Theo quy trình tại Napas, bước khởi đầu quan trọng nhất bạn cần thực hiện là gì?</t>
    </r>
  </si>
  <si>
    <r>
      <rPr>
        <b/>
        <sz val="10"/>
        <color theme="1"/>
        <rFont val="Arial"/>
        <family val="2"/>
      </rPr>
      <t>Thu thập và tổng hợp thông tin cơ bả</t>
    </r>
    <r>
      <rPr>
        <sz val="10"/>
        <color theme="1"/>
        <rFont val="Arial"/>
        <family val="2"/>
      </rPr>
      <t>n liên quan đến nhu cầu và nội dung mua sắm</t>
    </r>
  </si>
  <si>
    <r>
      <t xml:space="preserve">Khi nào là thời điểm thích hợp để </t>
    </r>
    <r>
      <rPr>
        <b/>
        <sz val="10"/>
        <color theme="1"/>
        <rFont val="Arial"/>
        <family val="2"/>
      </rPr>
      <t>xây dựng kế hoạch mua sắm?</t>
    </r>
  </si>
  <si>
    <r>
      <rPr>
        <b/>
        <sz val="10"/>
        <color theme="1"/>
        <rFont val="Arial"/>
        <family val="2"/>
      </rPr>
      <t>Trước khi</t>
    </r>
    <r>
      <rPr>
        <sz val="10"/>
        <color theme="1"/>
        <rFont val="Arial"/>
        <family val="2"/>
      </rPr>
      <t xml:space="preserve"> phát sinh nhu cầu mua sắm</t>
    </r>
  </si>
  <si>
    <r>
      <t xml:space="preserve">Xây dựng </t>
    </r>
    <r>
      <rPr>
        <b/>
        <sz val="10"/>
        <color theme="1"/>
        <rFont val="Arial"/>
        <family val="2"/>
      </rPr>
      <t xml:space="preserve">kế hoạch chung </t>
    </r>
    <r>
      <rPr>
        <sz val="10"/>
        <color theme="1"/>
        <rFont val="Arial"/>
        <family val="2"/>
      </rPr>
      <t>cho cả nhóm hạng mục vì chúng liên quan về nội dung và thời điểm sử dụng</t>
    </r>
  </si>
  <si>
    <r>
      <t xml:space="preserve">Kế hoạch </t>
    </r>
    <r>
      <rPr>
        <b/>
        <sz val="10"/>
        <rFont val="Arial"/>
        <family val="2"/>
      </rPr>
      <t>phải đầy đủ thông ti</t>
    </r>
    <r>
      <rPr>
        <sz val="10"/>
        <rFont val="Arial"/>
        <family val="2"/>
      </rPr>
      <t>n, bám sát nhu cầu đã được phê duyệt và tuân thủ quy định hiện hành</t>
    </r>
  </si>
  <si>
    <r>
      <t xml:space="preserve">Bạn nhận thấy kế hoạch lựa chọn nhà cung cấp cho một nhóm hạng mục </t>
    </r>
    <r>
      <rPr>
        <b/>
        <sz val="10"/>
        <color theme="1"/>
        <rFont val="Arial"/>
        <family val="2"/>
      </rPr>
      <t>đang tách nhỏ và xử lý riêng lẻ,</t>
    </r>
    <r>
      <rPr>
        <sz val="10"/>
        <color theme="1"/>
        <rFont val="Arial"/>
        <family val="2"/>
      </rPr>
      <t xml:space="preserve"> dẫn đến trùng lặp chi phí, kéo dài thời gian thực hiện. Theo hướng tiếp cận tối ưu hóa, bạn nên xử lý thế nào?</t>
    </r>
  </si>
  <si>
    <r>
      <t xml:space="preserve">Đề xuất </t>
    </r>
    <r>
      <rPr>
        <b/>
        <sz val="10"/>
        <color theme="1"/>
        <rFont val="Arial"/>
        <family val="2"/>
      </rPr>
      <t>gộp các hạng mục có liên quan</t>
    </r>
    <r>
      <rPr>
        <sz val="10"/>
        <color theme="1"/>
        <rFont val="Arial"/>
        <family val="2"/>
      </rPr>
      <t xml:space="preserve"> về thời gian và nội dung mua sắm vào cùng một kế hoạch, phân tích hình thức mua sắm phù hợp và phối hợp với các bên để đảm bảo hiệu quả tổng thể</t>
    </r>
  </si>
  <si>
    <r>
      <rPr>
        <b/>
        <sz val="10"/>
        <rFont val="Arial"/>
        <family val="2"/>
      </rPr>
      <t>Phân tích lại thời gian sử dụng,</t>
    </r>
    <r>
      <rPr>
        <sz val="10"/>
        <rFont val="Arial"/>
        <family val="2"/>
      </rPr>
      <t xml:space="preserve"> lựa chọn hình thức mua sắm phù hợp và phối hợp với các đơn vị liên quan để đảm bảo tiến độ, tối ưu chi phí và sử dụng nguồn lực hiệu quả</t>
    </r>
  </si>
  <si>
    <r>
      <rPr>
        <b/>
        <sz val="10"/>
        <color theme="1"/>
        <rFont val="Arial"/>
        <family val="2"/>
      </rPr>
      <t>Điền đầy đủ các thông tin</t>
    </r>
    <r>
      <rPr>
        <sz val="10"/>
        <color theme="1"/>
        <rFont val="Arial"/>
        <family val="2"/>
      </rPr>
      <t xml:space="preserve"> được hướng dẫn và đảm bảo cấu trúc hồ sơ đúng theo mẫu quy định</t>
    </r>
  </si>
  <si>
    <r>
      <t xml:space="preserve">Là cách tổ chức </t>
    </r>
    <r>
      <rPr>
        <b/>
        <sz val="10"/>
        <color theme="1"/>
        <rFont val="Arial"/>
        <family val="2"/>
      </rPr>
      <t>đấu thầu rộng rãi</t>
    </r>
    <r>
      <rPr>
        <sz val="10"/>
        <color theme="1"/>
        <rFont val="Arial"/>
        <family val="2"/>
      </rPr>
      <t>, mục đích là để lựa chọn nhà thầu thông qua đơn vị mua sắm tập trung nhằm giảm chi phí, thời gian, đầu mối tổ chức đấu thầu, tăng tính chuyên nghiệp trong đấu thầu và góp phần tăng hiệu quả kinh tế</t>
    </r>
  </si>
  <si>
    <r>
      <rPr>
        <b/>
        <sz val="10"/>
        <color theme="1"/>
        <rFont val="Arial"/>
        <family val="2"/>
      </rPr>
      <t>Mua sắm tập trung</t>
    </r>
    <r>
      <rPr>
        <sz val="10"/>
        <color theme="1"/>
        <rFont val="Arial"/>
        <family val="2"/>
      </rPr>
      <t xml:space="preserve"> là gì?</t>
    </r>
  </si>
  <si>
    <r>
      <t xml:space="preserve">Yêu cầu Nhà cung cấp A  </t>
    </r>
    <r>
      <rPr>
        <b/>
        <sz val="10"/>
        <color theme="1"/>
        <rFont val="Arial"/>
        <family val="2"/>
      </rPr>
      <t>bổ sung các tài liệu</t>
    </r>
    <r>
      <rPr>
        <sz val="10"/>
        <color theme="1"/>
        <rFont val="Arial"/>
        <family val="2"/>
      </rPr>
      <t xml:space="preserve"> chứng minh năng lực và kinh nghiệm còn thiếu, sau đó thực hiện tiếp các thủ tục tiếp theo</t>
    </r>
  </si>
  <si>
    <r>
      <t xml:space="preserve">NAPAS đang tiến hành mua sắm một hệ thống thanh toán liên ngân hàng sử dụng công nghệ blockchain – một lĩnh vực mới chưa từng được công ty triển khai trước đây. Để đảm bảo hồ sơ mua sắm đáp ứng đầy đủ yêu cầu pháp lý và thực tế, đội ngũ phụ trách cần đánh giá, lựa chọn phương án xây dựng hồ sơ mua sắm tối ưu.
Những yếu tố nào dưới đây cần được xem xét khi đánh giá và xây dựng hồ sơ mua sắm cho trường hợp này?
(1) Phân tích mức độ tương thích của các quy định pháp luật hiện hành với công nghệ blockchain.
(2) So sánh ưu, nhược điểm của các biểu mẫu hồ sơ mua sắm đã sử dụng cho các dự án công nghệ thông tin khác của công ty.
(3) Đánh giá rủi ro tiềm ẩn trong việc lựa chọn nhà cung cấp sử dụng công nghệ mới.
(4) Đề xuất các điều khoản bổ sung trong hợp đồng nhằm bảo vệ lợi ích của công ty khi hợp tác với nhà cung cấp.
</t>
    </r>
    <r>
      <rPr>
        <sz val="10"/>
        <color theme="3" tint="0.499984740745262"/>
        <rFont val="Arial"/>
        <family val="2"/>
      </rPr>
      <t>(5) Tham khảo ý kiến chuyên gia trong và ngoài công ty để hoàn thiện hồ sơ.</t>
    </r>
    <r>
      <rPr>
        <sz val="10"/>
        <color theme="1"/>
        <rFont val="Arial"/>
        <family val="2"/>
      </rPr>
      <t xml:space="preserve">
Phương án nào là phù hợp nhất để xây dựng hồ sơ mua sắm tối ưu?</t>
    </r>
  </si>
  <si>
    <r>
      <t>T</t>
    </r>
    <r>
      <rPr>
        <b/>
        <sz val="10"/>
        <rFont val="Arial"/>
        <family val="2"/>
      </rPr>
      <t>ham khảo tiêu chí đánh giá có sẵn trong hồ sơ</t>
    </r>
    <r>
      <rPr>
        <sz val="10"/>
        <rFont val="Arial"/>
        <family val="2"/>
      </rPr>
      <t xml:space="preserve"> mời thầu và kiểm tra từng nội dung hồ sơ dự thầu dưới sự hướng dẫn của người có kinh nghiệm trong tổ chuyên gia.</t>
    </r>
  </si>
  <si>
    <r>
      <t xml:space="preserve">Khi đánh giá hồ sơ đề xuất/hồ sơ dự thầu của nhà cung cấp/nhà thầu, bạn cần tập trung vào tiêu chí nào sau đây?
1. Năng lực và kinh nghiệm của nhà thầu/ĐVCC
2. Tiêu chuẩn đánh giá về kỹ thuật
3. Thư hỗ trợ của hãng đối với gói hàng hóa
4. Bằng cấp chứng chỉ của nhân sự chủ chốt đối với các gói hàng hóa
5. </t>
    </r>
    <r>
      <rPr>
        <sz val="10"/>
        <color rgb="FFFF0000"/>
        <rFont val="Arial"/>
        <family val="2"/>
      </rPr>
      <t>Tính minh bạch và uy tín của nhà thầu/ĐVCC</t>
    </r>
  </si>
  <si>
    <r>
      <t>Khi tham gia vào quá trình đánh giá hồ sơ chào hàng, bạn được yêu cầu hỗ trợ</t>
    </r>
    <r>
      <rPr>
        <b/>
        <sz val="10"/>
        <color theme="1"/>
        <rFont val="Arial"/>
        <family val="2"/>
      </rPr>
      <t xml:space="preserve"> so sánh các nhà cung cấp.</t>
    </r>
    <r>
      <rPr>
        <sz val="10"/>
        <color theme="1"/>
        <rFont val="Arial"/>
        <family val="2"/>
      </rPr>
      <t xml:space="preserve"> Cách tiếp cận nào sau đây thể hiện đúng vai trò hỗ trợ ở cấp độ cơ bản?</t>
    </r>
  </si>
  <si>
    <r>
      <rPr>
        <b/>
        <sz val="10"/>
        <rFont val="Arial"/>
        <family val="2"/>
      </rPr>
      <t>So sánh các hồ sơ nhà cung cấp</t>
    </r>
    <r>
      <rPr>
        <sz val="10"/>
        <rFont val="Arial"/>
        <family val="2"/>
      </rPr>
      <t xml:space="preserve"> theo tiêu chí định sẵn và ghi lại kết quả để báo cáo cho người phụ trách ra quyết định.</t>
    </r>
  </si>
  <si>
    <r>
      <t>Phân tích đặc điểm từng gói để lựa chọn hình thức và quy trình đánh giá phù hợp (</t>
    </r>
    <r>
      <rPr>
        <b/>
        <sz val="10"/>
        <rFont val="Arial"/>
        <family val="2"/>
      </rPr>
      <t>đấu thầu rộng rãi với dịch vụ bảo mật, chào hàng cạnh tranh với thiết bị phổ thông</t>
    </r>
    <r>
      <rPr>
        <sz val="10"/>
        <rFont val="Arial"/>
        <family val="2"/>
      </rPr>
      <t>...), đồng thời xây dựng tiêu chí đánh giá sát với từng loại.</t>
    </r>
  </si>
  <si>
    <r>
      <t>Phân tích ảnh hưởng của thiếu thông tin kỹ thuật,</t>
    </r>
    <r>
      <rPr>
        <b/>
        <sz val="10"/>
        <rFont val="Arial"/>
        <family val="2"/>
      </rPr>
      <t xml:space="preserve"> đề xuất làm rõ theo quy trình quy định,</t>
    </r>
    <r>
      <rPr>
        <sz val="10"/>
        <rFont val="Arial"/>
        <family val="2"/>
      </rPr>
      <t xml:space="preserve"> và rà soát biểu mẫu để bổ sung nếu chưa phù hợp với đặc thù gói thầu.</t>
    </r>
  </si>
  <si>
    <r>
      <t>N</t>
    </r>
    <r>
      <rPr>
        <b/>
        <sz val="10"/>
        <rFont val="Arial"/>
        <family val="2"/>
      </rPr>
      <t>gười quyết định xử lý tình huống phải chịu trách nhiệm trước pháp luật và Công ty</t>
    </r>
    <r>
      <rPr>
        <sz val="10"/>
        <rFont val="Arial"/>
        <family val="2"/>
      </rPr>
      <t xml:space="preserve"> về quyết định của mình trên cơ sở bảo đảm các nguyên tắc cạnh tranh, công bằng, minh bạch và hiệu quả kinh tế.</t>
    </r>
  </si>
  <si>
    <r>
      <t xml:space="preserve">Việc yêu cầu phát hành </t>
    </r>
    <r>
      <rPr>
        <b/>
        <sz val="10"/>
        <color theme="1"/>
        <rFont val="Arial"/>
        <family val="2"/>
      </rPr>
      <t>Bảo đảm thực hiện hợp đồng</t>
    </r>
    <r>
      <rPr>
        <sz val="10"/>
        <color theme="1"/>
        <rFont val="Arial"/>
        <family val="2"/>
      </rPr>
      <t xml:space="preserve"> thường được áp dụng đối với các nhà thầu cung cấp sản phẩm, dịch vụ nào?</t>
    </r>
  </si>
  <si>
    <r>
      <t xml:space="preserve">Bảo đảm thực hiện hợp đồng áp dụng đối với </t>
    </r>
    <r>
      <rPr>
        <b/>
        <sz val="10"/>
        <rFont val="Arial"/>
        <family val="2"/>
      </rPr>
      <t>tất cả các nhà thầu được lựa chọn</t>
    </r>
    <r>
      <rPr>
        <sz val="10"/>
        <color rgb="FFFF0000"/>
        <rFont val="Arial"/>
        <family val="2"/>
      </rPr>
      <t>, trừ</t>
    </r>
    <r>
      <rPr>
        <sz val="10"/>
        <rFont val="Arial"/>
        <family val="2"/>
      </rPr>
      <t xml:space="preserve"> nhà thầu cung cấp dịch vụ tư vấn, nhà thầu được lựa chọn theo hình thức tự thực hiện và tham gia thực hiện của cộng đồng</t>
    </r>
  </si>
  <si>
    <r>
      <t xml:space="preserve">Tham khảo giá thị trường và điều chỉnh lại giá dự toán, sau đó cập nhật trực tiếp vào hồ sơ </t>
    </r>
    <r>
      <rPr>
        <sz val="10"/>
        <color rgb="FFFF0000"/>
        <rFont val="Arial"/>
        <family val="2"/>
      </rPr>
      <t>mà không</t>
    </r>
    <r>
      <rPr>
        <sz val="10"/>
        <rFont val="Arial"/>
        <family val="2"/>
      </rPr>
      <t xml:space="preserve"> cần xin ý kiến thẩm định.</t>
    </r>
  </si>
  <si>
    <r>
      <t xml:space="preserve">Tự điều chỉnh giá dự toán theo giá thị trường </t>
    </r>
    <r>
      <rPr>
        <sz val="10"/>
        <color rgb="FFFF0000"/>
        <rFont val="Arial"/>
        <family val="2"/>
      </rPr>
      <t>mà không</t>
    </r>
    <r>
      <rPr>
        <sz val="10"/>
        <rFont val="Arial"/>
        <family val="2"/>
      </rPr>
      <t xml:space="preserve"> cần báo cáo hay thẩm định lại.</t>
    </r>
  </si>
  <si>
    <r>
      <t xml:space="preserve">Liên hệ đơn vị thẩm định đề nghị duyệt nhanh giá mới, </t>
    </r>
    <r>
      <rPr>
        <sz val="10"/>
        <color rgb="FFFF0000"/>
        <rFont val="Arial"/>
        <family val="2"/>
      </rPr>
      <t>không cần</t>
    </r>
    <r>
      <rPr>
        <sz val="10"/>
        <rFont val="Arial"/>
        <family val="2"/>
      </rPr>
      <t xml:space="preserve"> đối chiếu với quy định hay các tình huống xử lý trước đó.</t>
    </r>
  </si>
  <si>
    <r>
      <t xml:space="preserve">Phương pháp giá thấp nhất áp dụng cho gói thầu phi tư vấn, hàng hóa, xây lắp, hỗn hợp khi các </t>
    </r>
    <r>
      <rPr>
        <b/>
        <sz val="10"/>
        <rFont val="Arial"/>
        <family val="2"/>
      </rPr>
      <t>đề xuất tương đương về kỹ thuậ</t>
    </r>
    <r>
      <rPr>
        <sz val="10"/>
        <rFont val="Arial"/>
        <family val="2"/>
      </rPr>
      <t>t; hoặc gói tư vấn đơn giản, có tiêu chuẩn thực hiện rõ ràng.</t>
    </r>
  </si>
  <si>
    <r>
      <t xml:space="preserve">Phương pháp lựa chọn nhà thầu theo </t>
    </r>
    <r>
      <rPr>
        <b/>
        <sz val="10"/>
        <color theme="1"/>
        <rFont val="Arial"/>
        <family val="2"/>
      </rPr>
      <t>giá thấp nhất</t>
    </r>
    <r>
      <rPr>
        <sz val="10"/>
        <color theme="1"/>
        <rFont val="Arial"/>
        <family val="2"/>
      </rPr>
      <t xml:space="preserve"> (nhà thầu có giá thấp nhất được lựa chọn) thường được áp dụng nhiều nhất trong trường hợp nào?</t>
    </r>
  </si>
  <si>
    <r>
      <rPr>
        <b/>
        <sz val="10"/>
        <rFont val="Arial"/>
        <family val="2"/>
      </rPr>
      <t xml:space="preserve">Làm rõ đơn giá chào thầu </t>
    </r>
    <r>
      <rPr>
        <sz val="10"/>
        <rFont val="Arial"/>
        <family val="2"/>
      </rPr>
      <t>đối với nhà thầu số 1 và nhà thầu số 2. Yêu cầu giải thích vì sao lại có sự chênh lệch đơn giá dự thầu. Có thể đàm phán yêu cầu nhà thầu đưa về mặt bằng giá thấp nhất. Sau khi có văn bản làm rõ hồ sơ dự thầu và điều chỉnh đơn giá (nếu có) của nhà thầu thì thì tính lại giá đánh giá và tiến hành đánh giá, xếp hạng các nhà thầu.</t>
    </r>
  </si>
  <si>
    <r>
      <t>Trong quá trình thẩm định hồ sơ mua sắm, bạn phát hiện một hạng mục bị</t>
    </r>
    <r>
      <rPr>
        <b/>
        <sz val="10"/>
        <color theme="1"/>
        <rFont val="Arial"/>
        <family val="2"/>
      </rPr>
      <t xml:space="preserve"> trùng</t>
    </r>
    <r>
      <rPr>
        <sz val="10"/>
        <color theme="1"/>
        <rFont val="Arial"/>
        <family val="2"/>
      </rPr>
      <t xml:space="preserve"> với nội dung của một kế hoạch đầu tư đã được phê duyệt gần đây. Tình huống này có thể gây dư thừa ngân sách hoặc chồng chéo triển khai. Theo yêu cầu xử lý cấp độ cao, bạn nên hành động như thế nào?
</t>
    </r>
  </si>
  <si>
    <r>
      <t xml:space="preserve">Xây dựng tiêu chí, yêu cầu kỹ thuật và năng lực dựa trên nhu cầu thực tế, đảm bảo minh bạch, </t>
    </r>
    <r>
      <rPr>
        <b/>
        <sz val="10"/>
        <color theme="1"/>
        <rFont val="Arial"/>
        <family val="2"/>
      </rPr>
      <t>không nêu đích danh thương hiệu</t>
    </r>
    <r>
      <rPr>
        <sz val="10"/>
        <color theme="1"/>
        <rFont val="Arial"/>
        <family val="2"/>
      </rPr>
      <t>, tránh quy định mang tính áp đặt</t>
    </r>
  </si>
  <si>
    <r>
      <t xml:space="preserve">NAPAS đang thực hiện dự án đầu tư phần mềm quản lý dòng tiền tích hợp với hệ thống chuyển mạch tài chính của công ty. Đây là loại </t>
    </r>
    <r>
      <rPr>
        <b/>
        <sz val="10"/>
        <color theme="1"/>
        <rFont val="Arial"/>
        <family val="2"/>
      </rPr>
      <t>phần mềm phức tạp</t>
    </r>
    <r>
      <rPr>
        <sz val="10"/>
        <color theme="1"/>
        <rFont val="Arial"/>
        <family val="2"/>
      </rPr>
      <t xml:space="preserve">, chưa có tiền lệ trong các dự án đầu tư trước đây. Tổ chuyên gia cần xây dựng hồ sơ lựa chọn nhà thầu phù hợp, </t>
    </r>
    <r>
      <rPr>
        <b/>
        <sz val="10"/>
        <color theme="1"/>
        <rFont val="Arial"/>
        <family val="2"/>
      </rPr>
      <t xml:space="preserve">đảm bảo các yếu tố pháp lý, kỹ thuật, và tính khả thi </t>
    </r>
    <r>
      <rPr>
        <sz val="10"/>
        <color theme="1"/>
        <rFont val="Arial"/>
        <family val="2"/>
      </rPr>
      <t xml:space="preserve">của dự án.
Những yếu tố nào dưới đây cần được đánh giá để điều chỉnh nội dung hồ sơ lựa chọn nhà thầu cho gói thầu thuộc dự án này?
</t>
    </r>
    <r>
      <rPr>
        <sz val="10"/>
        <color rgb="FFFF0000"/>
        <rFont val="Arial"/>
        <family val="2"/>
      </rPr>
      <t>1. Hiệu quả của các tiêu chí đánh giá nhà thầu trong các gói thầu thuộc dự án tương tự trước đây.</t>
    </r>
    <r>
      <rPr>
        <sz val="10"/>
        <color theme="1"/>
        <rFont val="Arial"/>
        <family val="2"/>
      </rPr>
      <t xml:space="preserve">
2. Khả năng tích hợp phần mềm với hệ thống hiện tại của NAPAS.
3. Phân tích các yêu cầu kỹ thuật chi tiết của phần mềm quản lý dòng tiền.
</t>
    </r>
    <r>
      <rPr>
        <sz val="10"/>
        <color theme="3" tint="0.499984740745262"/>
        <rFont val="Arial"/>
        <family val="2"/>
      </rPr>
      <t>4. Điều chỉnh các điều khoản pháp lý trong hồ sơ để phù hợp với hợp đồng phần mềm.</t>
    </r>
    <r>
      <rPr>
        <sz val="10"/>
        <color theme="1"/>
        <rFont val="Arial"/>
        <family val="2"/>
      </rPr>
      <t xml:space="preserve">
</t>
    </r>
    <r>
      <rPr>
        <sz val="10"/>
        <color theme="3" tint="0.499984740745262"/>
        <rFont val="Arial"/>
        <family val="2"/>
      </rPr>
      <t>5. Xem xét tính thực tế và khả thi của các điều khoản giao hàng và hỗ trợ kỹ thuật.</t>
    </r>
    <r>
      <rPr>
        <sz val="10"/>
        <color theme="1"/>
        <rFont val="Arial"/>
        <family val="2"/>
      </rPr>
      <t xml:space="preserve">
Phương án nào là phù hợp nhất để xây dựng hồ sơ lựa chọn nhà thầu tối ưu?</t>
    </r>
  </si>
  <si>
    <r>
      <rPr>
        <b/>
        <sz val="10"/>
        <rFont val="Arial"/>
        <family val="2"/>
      </rPr>
      <t>Phân tích mức độ trùng lặp,</t>
    </r>
    <r>
      <rPr>
        <sz val="10"/>
        <rFont val="Arial"/>
        <family val="2"/>
      </rPr>
      <t xml:space="preserve"> đối chiếu với kế hoạch đầu tư hiện tại và đề xuất phương án điều chỉnh hồ sơ hoặc hợp nhất nội dung với các bên liên quan để tối ưu nguồn lực và loại bỏ rủi ro chồng lặp.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</si>
</sst>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0"/>
      <color theme="1"/>
      <name val="Arial"/>
      <family val="2"/>
    </font>
    <font>
      <sz val="10"/>
      <color rgb="FF000000"/>
      <name val="Arial"/>
      <family val="2"/>
    </font>
    <font>
      <sz val="11"/>
      <color theme="1"/>
      <name val="Arial"/>
      <family val="2"/>
    </font>
    <font>
      <sz val="10"/>
      <color theme="1"/>
      <name val="Arial"/>
      <family val="2"/>
    </font>
    <font>
      <sz val="10"/>
      <name val="Arial"/>
      <family val="2"/>
    </font>
    <font>
      <b/>
      <sz val="10"/>
      <color theme="0"/>
      <name val="Arial"/>
      <family val="2"/>
    </font>
    <font>
      <i/>
      <sz val="9"/>
      <color theme="1"/>
      <name val="Arial"/>
      <family val="2"/>
    </font>
    <font>
      <b/>
      <sz val="16"/>
      <color theme="1"/>
      <name val="Arial"/>
      <family val="2"/>
    </font>
    <font>
      <b/>
      <sz val="11"/>
      <color theme="1"/>
      <name val="Arial"/>
      <family val="2"/>
    </font>
    <font>
      <b/>
      <sz val="11"/>
      <color theme="0"/>
      <name val="Arial"/>
      <family val="2"/>
    </font>
    <font>
      <sz val="10"/>
      <color rgb="FFFF0000"/>
      <name val="Arial"/>
      <family val="2"/>
    </font>
    <font>
      <b/>
      <sz val="10"/>
      <name val="Arial"/>
      <family val="2"/>
    </font>
    <font>
      <sz val="10"/>
      <color theme="3" tint="0.499984740745262"/>
      <name val="Arial"/>
      <family val="2"/>
    </font>
  </fonts>
  <fills count="10">
    <fill>
      <patternFill patternType="none"/>
    </fill>
    <fill>
      <patternFill patternType="gray125"/>
    </fill>
    <fill>
      <patternFill patternType="solid">
        <fgColor theme="0" tint="-4.9989318521683403E-2"/>
        <bgColor indexed="64"/>
      </patternFill>
    </fill>
    <fill>
      <patternFill patternType="solid">
        <fgColor theme="3" tint="9.9978637043366805E-2"/>
        <bgColor indexed="64"/>
      </patternFill>
    </fill>
    <fill>
      <patternFill patternType="solid">
        <fgColor theme="5" tint="-0.499984740745262"/>
        <bgColor indexed="64"/>
      </patternFill>
    </fill>
    <fill>
      <patternFill patternType="solid">
        <fgColor theme="5" tint="0.79998168889431442"/>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2" tint="-9.9978637043366805E-2"/>
        <bgColor indexed="64"/>
      </patternFill>
    </fill>
    <fill>
      <patternFill patternType="solid">
        <fgColor theme="3" tint="0.89999084444715716"/>
        <bgColor indexed="64"/>
      </patternFill>
    </fill>
  </fills>
  <borders count="3">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diagonalDown="1">
      <left style="thin">
        <color theme="2" tint="-0.249977111117893"/>
      </left>
      <right style="thin">
        <color theme="2" tint="-0.249977111117893"/>
      </right>
      <top style="thin">
        <color theme="2" tint="-0.249977111117893"/>
      </top>
      <bottom style="thin">
        <color theme="2" tint="-0.249977111117893"/>
      </bottom>
      <diagonal style="thin">
        <color theme="2" tint="-0.249977111117893"/>
      </diagonal>
    </border>
  </borders>
  <cellStyleXfs count="2">
    <xf numFmtId="0" fontId="0" fillId="0" borderId="0"/>
    <xf numFmtId="0" fontId="2" fillId="0" borderId="0"/>
  </cellStyleXfs>
  <cellXfs count="28">
    <xf numFmtId="0" fontId="0" fillId="0" borderId="0" xfId="0"/>
    <xf numFmtId="0" fontId="4" fillId="0" borderId="1" xfId="0" applyFont="1" applyBorder="1" applyAlignment="1">
      <alignment horizontal="center" vertical="top"/>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7" fillId="0" borderId="1" xfId="0" quotePrefix="1" applyFont="1" applyBorder="1" applyAlignment="1">
      <alignment horizontal="center" vertical="top" wrapText="1"/>
    </xf>
    <xf numFmtId="0" fontId="4" fillId="5" borderId="1" xfId="0" applyFont="1" applyFill="1" applyBorder="1" applyAlignment="1">
      <alignment vertical="top" wrapText="1"/>
    </xf>
    <xf numFmtId="0" fontId="6" fillId="6" borderId="1" xfId="0" applyFont="1" applyFill="1" applyBorder="1" applyAlignment="1">
      <alignment horizontal="center" vertical="top" wrapText="1"/>
    </xf>
    <xf numFmtId="0" fontId="4" fillId="0" borderId="1" xfId="0" quotePrefix="1" applyFont="1" applyBorder="1" applyAlignment="1">
      <alignment vertical="top" wrapText="1"/>
    </xf>
    <xf numFmtId="0" fontId="5" fillId="0" borderId="1" xfId="1" applyFont="1" applyBorder="1" applyAlignment="1" applyProtection="1">
      <alignment horizontal="left" vertical="top" wrapText="1"/>
      <protection locked="0"/>
    </xf>
    <xf numFmtId="0" fontId="4" fillId="8" borderId="1" xfId="0" quotePrefix="1" applyFont="1" applyFill="1" applyBorder="1" applyAlignment="1">
      <alignment vertical="top" wrapText="1"/>
    </xf>
    <xf numFmtId="0" fontId="4" fillId="8" borderId="1" xfId="0" applyFont="1" applyFill="1" applyBorder="1" applyAlignment="1">
      <alignment vertical="top" wrapText="1"/>
    </xf>
    <xf numFmtId="0" fontId="5" fillId="8" borderId="1" xfId="1" applyFont="1" applyFill="1" applyBorder="1" applyAlignment="1" applyProtection="1">
      <alignment horizontal="left" vertical="top" wrapText="1"/>
      <protection locked="0"/>
    </xf>
    <xf numFmtId="0" fontId="3" fillId="0" borderId="0" xfId="0" applyFont="1" applyAlignment="1">
      <alignment horizontal="center" vertical="top"/>
    </xf>
    <xf numFmtId="0" fontId="3" fillId="0" borderId="0" xfId="0" applyFont="1" applyAlignment="1">
      <alignment vertical="top"/>
    </xf>
    <xf numFmtId="0" fontId="8" fillId="0" borderId="0" xfId="0" applyFont="1" applyAlignment="1">
      <alignment horizontal="left" vertical="top"/>
    </xf>
    <xf numFmtId="0" fontId="7" fillId="0" borderId="0" xfId="0" applyFont="1" applyAlignment="1">
      <alignment vertical="top"/>
    </xf>
    <xf numFmtId="0" fontId="10" fillId="3" borderId="1" xfId="0" applyFont="1" applyFill="1" applyBorder="1" applyAlignment="1">
      <alignment horizontal="center" vertical="center" wrapText="1"/>
    </xf>
    <xf numFmtId="0" fontId="9" fillId="9" borderId="1" xfId="0" applyFont="1" applyFill="1" applyBorder="1" applyAlignment="1">
      <alignment horizontal="center" vertical="center"/>
    </xf>
    <xf numFmtId="0" fontId="6" fillId="3" borderId="2" xfId="0" applyFont="1" applyFill="1" applyBorder="1" applyAlignment="1">
      <alignment vertical="top" wrapText="1"/>
    </xf>
    <xf numFmtId="0" fontId="6" fillId="3"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Font="1" applyBorder="1" applyAlignment="1">
      <alignment horizontal="center" vertical="center"/>
    </xf>
    <xf numFmtId="0" fontId="11" fillId="0" borderId="1" xfId="0" applyFont="1" applyBorder="1" applyAlignment="1">
      <alignment vertical="top" wrapText="1"/>
    </xf>
    <xf numFmtId="0" fontId="11" fillId="0" borderId="1" xfId="0" applyFont="1" applyBorder="1" applyAlignment="1">
      <alignment horizontal="center" vertical="top" wrapText="1"/>
    </xf>
    <xf numFmtId="0" fontId="11" fillId="5" borderId="1" xfId="0" applyFont="1" applyFill="1" applyBorder="1" applyAlignment="1">
      <alignment vertical="top" wrapText="1"/>
    </xf>
    <xf numFmtId="0" fontId="6" fillId="4" borderId="1" xfId="0" applyFont="1" applyFill="1" applyBorder="1" applyAlignment="1">
      <alignment horizontal="center" vertical="top" wrapText="1"/>
    </xf>
    <xf numFmtId="0" fontId="6" fillId="7" borderId="1" xfId="0" applyFont="1" applyFill="1" applyBorder="1" applyAlignment="1">
      <alignment horizontal="center" vertical="top" wrapText="1"/>
    </xf>
    <xf numFmtId="0" fontId="6" fillId="3" borderId="1" xfId="0" applyFont="1" applyFill="1" applyBorder="1" applyAlignment="1">
      <alignment horizontal="center" vertical="top" wrapText="1"/>
    </xf>
  </cellXfs>
  <cellStyles count="2">
    <cellStyle name="Normal" xfId="0" builtinId="0"/>
    <cellStyle name="Normal 2" xfId="1" xr:uid="{17F16F5E-965D-40AC-9573-37F3BFECD5A9}"/>
  </cellStyles>
  <dxfs count="2">
    <dxf>
      <fill>
        <patternFill>
          <bgColor rgb="FFFCF0B2"/>
        </patternFill>
      </fill>
    </dxf>
    <dxf>
      <fill>
        <patternFill>
          <bgColor rgb="FFFCF0B2"/>
        </patternFill>
      </fill>
    </dxf>
  </dxfs>
  <tableStyles count="0" defaultTableStyle="TableStyleMedium2" defaultPivotStyle="PivotStyleLight16"/>
  <colors>
    <mruColors>
      <color rgb="FFFCF0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5C0B0-9D89-4729-AC6E-7F1010ED0730}">
  <dimension ref="B2:J49"/>
  <sheetViews>
    <sheetView showGridLines="0" topLeftCell="A30" zoomScale="90" zoomScaleNormal="90" workbookViewId="0">
      <selection activeCell="F49" sqref="F49"/>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5703125" style="13" customWidth="1"/>
    <col min="13" max="16384" width="9" style="13"/>
  </cols>
  <sheetData>
    <row r="2" spans="2:10" ht="26.25" customHeight="1" x14ac:dyDescent="0.25">
      <c r="B2" s="14" t="s">
        <v>0</v>
      </c>
    </row>
    <row r="3" spans="2:10" ht="10.35" customHeight="1" x14ac:dyDescent="0.25">
      <c r="B3" s="14"/>
    </row>
    <row r="4" spans="2:10" ht="31.5" customHeight="1" outlineLevel="1" x14ac:dyDescent="0.25">
      <c r="B4" s="14"/>
      <c r="D4" s="18" t="s">
        <v>1</v>
      </c>
      <c r="E4" s="19" t="s">
        <v>2</v>
      </c>
      <c r="F4" s="20">
        <v>1</v>
      </c>
      <c r="G4" s="20">
        <v>2</v>
      </c>
      <c r="H4" s="20">
        <v>3</v>
      </c>
      <c r="I4" s="20">
        <v>4</v>
      </c>
    </row>
    <row r="5" spans="2:10" ht="20.100000000000001" customHeight="1" outlineLevel="1" x14ac:dyDescent="0.25">
      <c r="B5" s="14"/>
      <c r="D5" s="19" t="s">
        <v>2</v>
      </c>
      <c r="E5" s="16">
        <f>SUM(E6:E9)</f>
        <v>36</v>
      </c>
      <c r="F5" s="17">
        <f>SUM(F6:F9)</f>
        <v>8</v>
      </c>
      <c r="G5" s="17">
        <f t="shared" ref="G5:H5" si="0">SUM(G6:G9)</f>
        <v>10</v>
      </c>
      <c r="H5" s="17">
        <f t="shared" si="0"/>
        <v>10</v>
      </c>
      <c r="I5" s="17">
        <f t="shared" ref="I5" si="1">SUM(I6:I9)</f>
        <v>8</v>
      </c>
    </row>
    <row r="6" spans="2:10" ht="20.100000000000001" customHeight="1" outlineLevel="1" x14ac:dyDescent="0.25">
      <c r="B6" s="14"/>
      <c r="D6" s="20">
        <v>1</v>
      </c>
      <c r="E6" s="17">
        <f>SUM(F6:I6)</f>
        <v>11</v>
      </c>
      <c r="F6" s="21">
        <f t="shared" ref="F6:I9" si="2">COUNTIFS($E$14:$E$170,$D6,$C$14:$C$170,F$4)</f>
        <v>2</v>
      </c>
      <c r="G6" s="21">
        <f t="shared" si="2"/>
        <v>3</v>
      </c>
      <c r="H6" s="21">
        <f t="shared" si="2"/>
        <v>4</v>
      </c>
      <c r="I6" s="21">
        <f t="shared" si="2"/>
        <v>2</v>
      </c>
    </row>
    <row r="7" spans="2:10" ht="20.100000000000001" customHeight="1" outlineLevel="1" x14ac:dyDescent="0.25">
      <c r="B7" s="14"/>
      <c r="D7" s="20">
        <v>2</v>
      </c>
      <c r="E7" s="17">
        <f t="shared" ref="E7:E9" si="3">SUM(F7:I7)</f>
        <v>9</v>
      </c>
      <c r="F7" s="21">
        <f t="shared" si="2"/>
        <v>2</v>
      </c>
      <c r="G7" s="21">
        <f t="shared" si="2"/>
        <v>3</v>
      </c>
      <c r="H7" s="21">
        <f t="shared" si="2"/>
        <v>2</v>
      </c>
      <c r="I7" s="21">
        <f t="shared" si="2"/>
        <v>2</v>
      </c>
    </row>
    <row r="8" spans="2:10" ht="20.100000000000001" customHeight="1" outlineLevel="1" x14ac:dyDescent="0.25">
      <c r="B8" s="14"/>
      <c r="D8" s="20">
        <v>3</v>
      </c>
      <c r="E8" s="17">
        <f t="shared" si="3"/>
        <v>8</v>
      </c>
      <c r="F8" s="21">
        <f t="shared" si="2"/>
        <v>2</v>
      </c>
      <c r="G8" s="21">
        <f t="shared" si="2"/>
        <v>2</v>
      </c>
      <c r="H8" s="21">
        <f t="shared" si="2"/>
        <v>2</v>
      </c>
      <c r="I8" s="21">
        <f t="shared" si="2"/>
        <v>2</v>
      </c>
    </row>
    <row r="9" spans="2:10" ht="20.100000000000001" customHeight="1" outlineLevel="1" x14ac:dyDescent="0.25">
      <c r="B9" s="14"/>
      <c r="D9" s="20">
        <v>4</v>
      </c>
      <c r="E9" s="17">
        <f t="shared" si="3"/>
        <v>8</v>
      </c>
      <c r="F9" s="21">
        <f t="shared" si="2"/>
        <v>2</v>
      </c>
      <c r="G9" s="21">
        <f t="shared" si="2"/>
        <v>2</v>
      </c>
      <c r="H9" s="21">
        <f t="shared" si="2"/>
        <v>2</v>
      </c>
      <c r="I9" s="21">
        <f t="shared" si="2"/>
        <v>2</v>
      </c>
    </row>
    <row r="10" spans="2:10" ht="6.75" customHeight="1" x14ac:dyDescent="0.25"/>
    <row r="11" spans="2:10" ht="19.350000000000001" customHeight="1" x14ac:dyDescent="0.25">
      <c r="B11" s="27" t="s">
        <v>3</v>
      </c>
      <c r="C11" s="27" t="s">
        <v>4</v>
      </c>
      <c r="D11" s="27" t="s">
        <v>5</v>
      </c>
      <c r="E11" s="27" t="s">
        <v>6</v>
      </c>
      <c r="F11" s="25" t="s">
        <v>7</v>
      </c>
      <c r="G11" s="26" t="s">
        <v>8</v>
      </c>
      <c r="H11" s="26"/>
      <c r="I11" s="26"/>
      <c r="J11" s="26"/>
    </row>
    <row r="12" spans="2:10" ht="19.350000000000001" customHeight="1" x14ac:dyDescent="0.25">
      <c r="B12" s="27"/>
      <c r="C12" s="27"/>
      <c r="D12" s="27"/>
      <c r="E12" s="27"/>
      <c r="F12" s="25"/>
      <c r="G12" s="6" t="s">
        <v>9</v>
      </c>
      <c r="H12" s="6" t="s">
        <v>10</v>
      </c>
      <c r="I12" s="6" t="s">
        <v>11</v>
      </c>
      <c r="J12" s="6" t="s">
        <v>12</v>
      </c>
    </row>
    <row r="13" spans="2:10" s="15" customFormat="1" ht="12" x14ac:dyDescent="0.25">
      <c r="B13" s="4" t="str">
        <f t="shared" ref="B13:J13" si="4">"("&amp;COLUMN()-COLUMN($A$13)&amp;")"</f>
        <v>(1)</v>
      </c>
      <c r="C13" s="4" t="str">
        <f t="shared" si="4"/>
        <v>(2)</v>
      </c>
      <c r="D13" s="4" t="str">
        <f t="shared" si="4"/>
        <v>(3)</v>
      </c>
      <c r="E13" s="4" t="str">
        <f t="shared" si="4"/>
        <v>(4)</v>
      </c>
      <c r="F13" s="4" t="str">
        <f t="shared" si="4"/>
        <v>(5)</v>
      </c>
      <c r="G13" s="4" t="str">
        <f t="shared" si="4"/>
        <v>(6)</v>
      </c>
      <c r="H13" s="4" t="str">
        <f t="shared" si="4"/>
        <v>(7)</v>
      </c>
      <c r="I13" s="4" t="str">
        <f t="shared" si="4"/>
        <v>(8)</v>
      </c>
      <c r="J13" s="4" t="str">
        <f t="shared" si="4"/>
        <v>(9)</v>
      </c>
    </row>
    <row r="14" spans="2:10" ht="102" x14ac:dyDescent="0.25">
      <c r="B14" s="1">
        <f>ROW()-ROW($B$13)</f>
        <v>1</v>
      </c>
      <c r="C14" s="2">
        <v>1</v>
      </c>
      <c r="D14" s="3" t="s">
        <v>13</v>
      </c>
      <c r="E14" s="2">
        <v>1</v>
      </c>
      <c r="F14" s="5" t="s">
        <v>14</v>
      </c>
      <c r="G14" s="9" t="s">
        <v>15</v>
      </c>
      <c r="H14" s="7" t="s">
        <v>16</v>
      </c>
      <c r="I14" s="7" t="s">
        <v>17</v>
      </c>
      <c r="J14" s="7" t="s">
        <v>18</v>
      </c>
    </row>
    <row r="15" spans="2:10" ht="102" x14ac:dyDescent="0.25">
      <c r="B15" s="1">
        <f t="shared" ref="B15:B23" si="5">ROW()-ROW($B$13)</f>
        <v>2</v>
      </c>
      <c r="C15" s="2">
        <v>1</v>
      </c>
      <c r="D15" s="3" t="s">
        <v>13</v>
      </c>
      <c r="E15" s="2">
        <v>1</v>
      </c>
      <c r="F15" s="5" t="s">
        <v>19</v>
      </c>
      <c r="G15" s="10" t="s">
        <v>20</v>
      </c>
      <c r="H15" s="3" t="s">
        <v>21</v>
      </c>
      <c r="I15" s="3" t="s">
        <v>22</v>
      </c>
      <c r="J15" s="3" t="s">
        <v>23</v>
      </c>
    </row>
    <row r="16" spans="2:10" ht="102" x14ac:dyDescent="0.25">
      <c r="B16" s="1">
        <f t="shared" si="5"/>
        <v>3</v>
      </c>
      <c r="C16" s="2">
        <v>1</v>
      </c>
      <c r="D16" s="3" t="s">
        <v>13</v>
      </c>
      <c r="E16" s="2">
        <v>2</v>
      </c>
      <c r="F16" s="5" t="s">
        <v>24</v>
      </c>
      <c r="G16" s="10" t="s">
        <v>25</v>
      </c>
      <c r="H16" s="3" t="s">
        <v>26</v>
      </c>
      <c r="I16" s="3" t="s">
        <v>27</v>
      </c>
      <c r="J16" s="3" t="s">
        <v>28</v>
      </c>
    </row>
    <row r="17" spans="2:10" ht="102" x14ac:dyDescent="0.25">
      <c r="B17" s="1">
        <f t="shared" si="5"/>
        <v>4</v>
      </c>
      <c r="C17" s="2">
        <v>1</v>
      </c>
      <c r="D17" s="3" t="s">
        <v>13</v>
      </c>
      <c r="E17" s="2">
        <v>2</v>
      </c>
      <c r="F17" s="5" t="s">
        <v>29</v>
      </c>
      <c r="G17" s="11" t="s">
        <v>30</v>
      </c>
      <c r="H17" s="8" t="s">
        <v>31</v>
      </c>
      <c r="I17" s="8" t="s">
        <v>32</v>
      </c>
      <c r="J17" s="8" t="s">
        <v>33</v>
      </c>
    </row>
    <row r="18" spans="2:10" ht="102" x14ac:dyDescent="0.25">
      <c r="B18" s="1">
        <f t="shared" si="5"/>
        <v>5</v>
      </c>
      <c r="C18" s="2">
        <v>1</v>
      </c>
      <c r="D18" s="3" t="s">
        <v>13</v>
      </c>
      <c r="E18" s="2">
        <v>3</v>
      </c>
      <c r="F18" s="5" t="s">
        <v>34</v>
      </c>
      <c r="G18" s="11" t="s">
        <v>35</v>
      </c>
      <c r="H18" s="8" t="s">
        <v>36</v>
      </c>
      <c r="I18" s="8" t="s">
        <v>37</v>
      </c>
      <c r="J18" s="8" t="s">
        <v>38</v>
      </c>
    </row>
    <row r="19" spans="2:10" ht="102" x14ac:dyDescent="0.25">
      <c r="B19" s="1">
        <f t="shared" si="5"/>
        <v>6</v>
      </c>
      <c r="C19" s="2">
        <v>1</v>
      </c>
      <c r="D19" s="3" t="s">
        <v>13</v>
      </c>
      <c r="E19" s="2">
        <v>3</v>
      </c>
      <c r="F19" s="5" t="s">
        <v>39</v>
      </c>
      <c r="G19" s="10" t="s">
        <v>40</v>
      </c>
      <c r="H19" s="3" t="s">
        <v>41</v>
      </c>
      <c r="I19" s="3" t="s">
        <v>42</v>
      </c>
      <c r="J19" s="3" t="s">
        <v>43</v>
      </c>
    </row>
    <row r="20" spans="2:10" ht="102" x14ac:dyDescent="0.25">
      <c r="B20" s="1">
        <f t="shared" si="5"/>
        <v>7</v>
      </c>
      <c r="C20" s="2">
        <v>1</v>
      </c>
      <c r="D20" s="3" t="s">
        <v>13</v>
      </c>
      <c r="E20" s="2">
        <v>4</v>
      </c>
      <c r="F20" s="5" t="s">
        <v>44</v>
      </c>
      <c r="G20" s="10" t="s">
        <v>45</v>
      </c>
      <c r="H20" s="3" t="s">
        <v>46</v>
      </c>
      <c r="I20" s="3" t="s">
        <v>47</v>
      </c>
      <c r="J20" s="3" t="s">
        <v>48</v>
      </c>
    </row>
    <row r="21" spans="2:10" ht="255" x14ac:dyDescent="0.25">
      <c r="B21" s="1">
        <f t="shared" si="5"/>
        <v>8</v>
      </c>
      <c r="C21" s="2">
        <v>1</v>
      </c>
      <c r="D21" s="3" t="s">
        <v>13</v>
      </c>
      <c r="E21" s="2">
        <v>4</v>
      </c>
      <c r="F21" s="5" t="s">
        <v>49</v>
      </c>
      <c r="G21" s="10" t="s">
        <v>50</v>
      </c>
      <c r="H21" s="3" t="s">
        <v>51</v>
      </c>
      <c r="I21" s="3" t="s">
        <v>52</v>
      </c>
      <c r="J21" s="3" t="s">
        <v>53</v>
      </c>
    </row>
    <row r="22" spans="2:10" ht="89.25" x14ac:dyDescent="0.25">
      <c r="B22" s="1">
        <f t="shared" si="5"/>
        <v>9</v>
      </c>
      <c r="C22" s="2">
        <v>2</v>
      </c>
      <c r="D22" s="3" t="s">
        <v>54</v>
      </c>
      <c r="E22" s="2">
        <v>1</v>
      </c>
      <c r="F22" s="5" t="s">
        <v>55</v>
      </c>
      <c r="G22" s="10" t="s">
        <v>56</v>
      </c>
      <c r="H22" s="3" t="s">
        <v>57</v>
      </c>
      <c r="I22" s="3" t="s">
        <v>58</v>
      </c>
      <c r="J22" s="3" t="s">
        <v>59</v>
      </c>
    </row>
    <row r="23" spans="2:10" ht="89.25" x14ac:dyDescent="0.25">
      <c r="B23" s="1">
        <f t="shared" si="5"/>
        <v>10</v>
      </c>
      <c r="C23" s="2">
        <v>2</v>
      </c>
      <c r="D23" s="3" t="s">
        <v>54</v>
      </c>
      <c r="E23" s="2">
        <v>1</v>
      </c>
      <c r="F23" s="5" t="s">
        <v>60</v>
      </c>
      <c r="G23" s="10" t="s">
        <v>61</v>
      </c>
      <c r="H23" s="3" t="s">
        <v>62</v>
      </c>
      <c r="I23" s="3" t="s">
        <v>63</v>
      </c>
      <c r="J23" s="3" t="s">
        <v>64</v>
      </c>
    </row>
    <row r="24" spans="2:10" ht="89.25" x14ac:dyDescent="0.25">
      <c r="B24" s="1">
        <f>ROW()-ROW($B$13)</f>
        <v>11</v>
      </c>
      <c r="C24" s="2">
        <v>2</v>
      </c>
      <c r="D24" s="3" t="s">
        <v>54</v>
      </c>
      <c r="E24" s="2">
        <v>1</v>
      </c>
      <c r="F24" s="5" t="s">
        <v>65</v>
      </c>
      <c r="G24" s="9" t="s">
        <v>66</v>
      </c>
      <c r="H24" s="7" t="s">
        <v>67</v>
      </c>
      <c r="I24" s="7" t="s">
        <v>68</v>
      </c>
      <c r="J24" s="7" t="s">
        <v>69</v>
      </c>
    </row>
    <row r="25" spans="2:10" ht="114.75" x14ac:dyDescent="0.25">
      <c r="B25" s="1">
        <f t="shared" ref="B25:B49" si="6">ROW()-ROW($B$13)</f>
        <v>12</v>
      </c>
      <c r="C25" s="2">
        <v>2</v>
      </c>
      <c r="D25" s="3" t="s">
        <v>54</v>
      </c>
      <c r="E25" s="2">
        <v>2</v>
      </c>
      <c r="F25" s="5" t="s">
        <v>70</v>
      </c>
      <c r="G25" s="10" t="s">
        <v>71</v>
      </c>
      <c r="H25" s="3" t="s">
        <v>72</v>
      </c>
      <c r="I25" s="3" t="s">
        <v>73</v>
      </c>
      <c r="J25" s="3" t="s">
        <v>74</v>
      </c>
    </row>
    <row r="26" spans="2:10" ht="127.5" x14ac:dyDescent="0.25">
      <c r="B26" s="1">
        <f t="shared" si="6"/>
        <v>13</v>
      </c>
      <c r="C26" s="2">
        <v>2</v>
      </c>
      <c r="D26" s="3" t="s">
        <v>54</v>
      </c>
      <c r="E26" s="2">
        <v>2</v>
      </c>
      <c r="F26" s="5" t="s">
        <v>75</v>
      </c>
      <c r="G26" s="10" t="s">
        <v>76</v>
      </c>
      <c r="H26" s="3" t="s">
        <v>77</v>
      </c>
      <c r="I26" s="3" t="s">
        <v>78</v>
      </c>
      <c r="J26" s="3" t="s">
        <v>79</v>
      </c>
    </row>
    <row r="27" spans="2:10" ht="89.25" x14ac:dyDescent="0.25">
      <c r="B27" s="1">
        <f t="shared" si="6"/>
        <v>14</v>
      </c>
      <c r="C27" s="2">
        <v>2</v>
      </c>
      <c r="D27" s="3" t="s">
        <v>54</v>
      </c>
      <c r="E27" s="2">
        <v>2</v>
      </c>
      <c r="F27" s="5" t="s">
        <v>80</v>
      </c>
      <c r="G27" s="10" t="s">
        <v>81</v>
      </c>
      <c r="H27" s="3" t="s">
        <v>82</v>
      </c>
      <c r="I27" s="3" t="s">
        <v>83</v>
      </c>
      <c r="J27" s="3" t="s">
        <v>84</v>
      </c>
    </row>
    <row r="28" spans="2:10" ht="318.75" x14ac:dyDescent="0.25">
      <c r="B28" s="1">
        <f t="shared" si="6"/>
        <v>15</v>
      </c>
      <c r="C28" s="2">
        <v>2</v>
      </c>
      <c r="D28" s="3" t="s">
        <v>54</v>
      </c>
      <c r="E28" s="2">
        <v>3</v>
      </c>
      <c r="F28" s="5" t="s">
        <v>85</v>
      </c>
      <c r="G28" s="10" t="s">
        <v>86</v>
      </c>
      <c r="H28" s="3" t="s">
        <v>71</v>
      </c>
      <c r="I28" s="3" t="s">
        <v>87</v>
      </c>
      <c r="J28" s="3" t="s">
        <v>88</v>
      </c>
    </row>
    <row r="29" spans="2:10" ht="395.25" x14ac:dyDescent="0.25">
      <c r="B29" s="1">
        <f t="shared" si="6"/>
        <v>16</v>
      </c>
      <c r="C29" s="2">
        <v>2</v>
      </c>
      <c r="D29" s="3" t="s">
        <v>54</v>
      </c>
      <c r="E29" s="2">
        <v>3</v>
      </c>
      <c r="F29" s="5" t="s">
        <v>89</v>
      </c>
      <c r="G29" s="11" t="s">
        <v>90</v>
      </c>
      <c r="H29" s="8" t="s">
        <v>91</v>
      </c>
      <c r="I29" s="8" t="s">
        <v>92</v>
      </c>
      <c r="J29" s="8" t="s">
        <v>93</v>
      </c>
    </row>
    <row r="30" spans="2:10" ht="280.5" x14ac:dyDescent="0.25">
      <c r="B30" s="1">
        <f t="shared" si="6"/>
        <v>17</v>
      </c>
      <c r="C30" s="2">
        <v>2</v>
      </c>
      <c r="D30" s="3" t="s">
        <v>54</v>
      </c>
      <c r="E30" s="2">
        <v>4</v>
      </c>
      <c r="F30" s="5" t="s">
        <v>94</v>
      </c>
      <c r="G30" s="11" t="s">
        <v>95</v>
      </c>
      <c r="H30" s="8" t="s">
        <v>96</v>
      </c>
      <c r="I30" s="8" t="s">
        <v>97</v>
      </c>
      <c r="J30" s="8" t="s">
        <v>98</v>
      </c>
    </row>
    <row r="31" spans="2:10" ht="409.5" x14ac:dyDescent="0.25">
      <c r="B31" s="1">
        <f t="shared" si="6"/>
        <v>18</v>
      </c>
      <c r="C31" s="2">
        <v>2</v>
      </c>
      <c r="D31" s="3" t="s">
        <v>54</v>
      </c>
      <c r="E31" s="2">
        <v>4</v>
      </c>
      <c r="F31" s="5" t="s">
        <v>99</v>
      </c>
      <c r="G31" s="11" t="s">
        <v>100</v>
      </c>
      <c r="H31" s="8" t="s">
        <v>101</v>
      </c>
      <c r="I31" s="8" t="s">
        <v>98</v>
      </c>
      <c r="J31" s="8" t="s">
        <v>93</v>
      </c>
    </row>
    <row r="32" spans="2:10" ht="63.75" x14ac:dyDescent="0.25">
      <c r="B32" s="1">
        <f t="shared" si="6"/>
        <v>19</v>
      </c>
      <c r="C32" s="2">
        <v>3</v>
      </c>
      <c r="D32" s="3" t="s">
        <v>102</v>
      </c>
      <c r="E32" s="2">
        <v>1</v>
      </c>
      <c r="F32" s="5" t="s">
        <v>103</v>
      </c>
      <c r="G32" s="11" t="s">
        <v>104</v>
      </c>
      <c r="H32" s="8" t="s">
        <v>105</v>
      </c>
      <c r="I32" s="8" t="s">
        <v>106</v>
      </c>
      <c r="J32" s="8" t="s">
        <v>107</v>
      </c>
    </row>
    <row r="33" spans="2:10" ht="128.44999999999999" customHeight="1" x14ac:dyDescent="0.25">
      <c r="B33" s="1">
        <f t="shared" si="6"/>
        <v>20</v>
      </c>
      <c r="C33" s="2">
        <v>3</v>
      </c>
      <c r="D33" s="3" t="s">
        <v>102</v>
      </c>
      <c r="E33" s="2">
        <v>1</v>
      </c>
      <c r="F33" s="5" t="s">
        <v>108</v>
      </c>
      <c r="G33" s="11" t="s">
        <v>100</v>
      </c>
      <c r="H33" s="8" t="s">
        <v>101</v>
      </c>
      <c r="I33" s="8" t="s">
        <v>97</v>
      </c>
      <c r="J33" s="8" t="s">
        <v>96</v>
      </c>
    </row>
    <row r="34" spans="2:10" ht="63.75" x14ac:dyDescent="0.25">
      <c r="B34" s="1">
        <f t="shared" si="6"/>
        <v>21</v>
      </c>
      <c r="C34" s="2">
        <v>3</v>
      </c>
      <c r="D34" s="3" t="s">
        <v>102</v>
      </c>
      <c r="E34" s="2">
        <v>1</v>
      </c>
      <c r="F34" s="5" t="s">
        <v>109</v>
      </c>
      <c r="G34" s="11" t="s">
        <v>110</v>
      </c>
      <c r="H34" s="8" t="s">
        <v>111</v>
      </c>
      <c r="I34" s="8" t="s">
        <v>112</v>
      </c>
      <c r="J34" s="8" t="s">
        <v>113</v>
      </c>
    </row>
    <row r="35" spans="2:10" ht="63.75" x14ac:dyDescent="0.25">
      <c r="B35" s="1">
        <f t="shared" si="6"/>
        <v>22</v>
      </c>
      <c r="C35" s="2">
        <v>3</v>
      </c>
      <c r="D35" s="3" t="s">
        <v>102</v>
      </c>
      <c r="E35" s="2">
        <v>1</v>
      </c>
      <c r="F35" s="5" t="s">
        <v>114</v>
      </c>
      <c r="G35" s="11" t="s">
        <v>115</v>
      </c>
      <c r="H35" s="8" t="s">
        <v>116</v>
      </c>
      <c r="I35" s="8" t="s">
        <v>117</v>
      </c>
      <c r="J35" s="8" t="s">
        <v>118</v>
      </c>
    </row>
    <row r="36" spans="2:10" ht="63.75" x14ac:dyDescent="0.25">
      <c r="B36" s="1">
        <f t="shared" si="6"/>
        <v>23</v>
      </c>
      <c r="C36" s="2">
        <v>3</v>
      </c>
      <c r="D36" s="3" t="s">
        <v>102</v>
      </c>
      <c r="E36" s="2">
        <v>2</v>
      </c>
      <c r="F36" s="5" t="s">
        <v>119</v>
      </c>
      <c r="G36" s="11" t="s">
        <v>120</v>
      </c>
      <c r="H36" s="8" t="s">
        <v>121</v>
      </c>
      <c r="I36" s="8" t="s">
        <v>122</v>
      </c>
      <c r="J36" s="8" t="s">
        <v>123</v>
      </c>
    </row>
    <row r="37" spans="2:10" ht="63.75" x14ac:dyDescent="0.25">
      <c r="B37" s="1">
        <f t="shared" si="6"/>
        <v>24</v>
      </c>
      <c r="C37" s="2">
        <v>3</v>
      </c>
      <c r="D37" s="3" t="s">
        <v>102</v>
      </c>
      <c r="E37" s="2">
        <v>2</v>
      </c>
      <c r="F37" s="5" t="s">
        <v>124</v>
      </c>
      <c r="G37" s="11" t="s">
        <v>125</v>
      </c>
      <c r="H37" s="8" t="s">
        <v>126</v>
      </c>
      <c r="I37" s="8" t="s">
        <v>127</v>
      </c>
      <c r="J37" s="8" t="s">
        <v>128</v>
      </c>
    </row>
    <row r="38" spans="2:10" ht="76.5" x14ac:dyDescent="0.25">
      <c r="B38" s="1">
        <f t="shared" si="6"/>
        <v>25</v>
      </c>
      <c r="C38" s="2">
        <v>3</v>
      </c>
      <c r="D38" s="3" t="s">
        <v>102</v>
      </c>
      <c r="E38" s="2">
        <v>3</v>
      </c>
      <c r="F38" s="5" t="s">
        <v>129</v>
      </c>
      <c r="G38" s="11" t="s">
        <v>130</v>
      </c>
      <c r="H38" s="8" t="s">
        <v>131</v>
      </c>
      <c r="I38" s="8" t="s">
        <v>132</v>
      </c>
      <c r="J38" s="8" t="s">
        <v>133</v>
      </c>
    </row>
    <row r="39" spans="2:10" ht="127.5" x14ac:dyDescent="0.25">
      <c r="B39" s="1">
        <f t="shared" si="6"/>
        <v>26</v>
      </c>
      <c r="C39" s="2">
        <v>3</v>
      </c>
      <c r="D39" s="3" t="s">
        <v>102</v>
      </c>
      <c r="E39" s="2">
        <v>3</v>
      </c>
      <c r="F39" s="5" t="s">
        <v>134</v>
      </c>
      <c r="G39" s="11" t="s">
        <v>135</v>
      </c>
      <c r="H39" s="8" t="s">
        <v>136</v>
      </c>
      <c r="I39" s="8" t="s">
        <v>137</v>
      </c>
      <c r="J39" s="8" t="s">
        <v>138</v>
      </c>
    </row>
    <row r="40" spans="2:10" ht="318.75" x14ac:dyDescent="0.25">
      <c r="B40" s="1">
        <f t="shared" si="6"/>
        <v>27</v>
      </c>
      <c r="C40" s="2">
        <v>3</v>
      </c>
      <c r="D40" s="3" t="s">
        <v>102</v>
      </c>
      <c r="E40" s="2">
        <v>4</v>
      </c>
      <c r="F40" s="5" t="s">
        <v>139</v>
      </c>
      <c r="G40" s="11" t="s">
        <v>93</v>
      </c>
      <c r="H40" s="8" t="s">
        <v>101</v>
      </c>
      <c r="I40" s="8" t="s">
        <v>140</v>
      </c>
      <c r="J40" s="8" t="s">
        <v>96</v>
      </c>
    </row>
    <row r="41" spans="2:10" ht="293.25" x14ac:dyDescent="0.25">
      <c r="B41" s="1">
        <f t="shared" si="6"/>
        <v>28</v>
      </c>
      <c r="C41" s="2">
        <v>3</v>
      </c>
      <c r="D41" s="22" t="s">
        <v>102</v>
      </c>
      <c r="E41" s="23">
        <v>4</v>
      </c>
      <c r="F41" s="24" t="s">
        <v>141</v>
      </c>
      <c r="G41" s="11" t="s">
        <v>100</v>
      </c>
      <c r="H41" s="8" t="s">
        <v>93</v>
      </c>
      <c r="I41" s="8" t="s">
        <v>101</v>
      </c>
      <c r="J41" s="8" t="s">
        <v>140</v>
      </c>
    </row>
    <row r="42" spans="2:10" ht="51" x14ac:dyDescent="0.25">
      <c r="B42" s="1">
        <f t="shared" si="6"/>
        <v>29</v>
      </c>
      <c r="C42" s="2">
        <v>4</v>
      </c>
      <c r="D42" s="3" t="s">
        <v>142</v>
      </c>
      <c r="E42" s="2">
        <v>1</v>
      </c>
      <c r="F42" s="5" t="s">
        <v>143</v>
      </c>
      <c r="G42" s="11" t="s">
        <v>144</v>
      </c>
      <c r="H42" s="8" t="s">
        <v>145</v>
      </c>
      <c r="I42" s="8" t="s">
        <v>146</v>
      </c>
      <c r="J42" s="8" t="s">
        <v>147</v>
      </c>
    </row>
    <row r="43" spans="2:10" ht="63.75" x14ac:dyDescent="0.25">
      <c r="B43" s="1">
        <f t="shared" si="6"/>
        <v>30</v>
      </c>
      <c r="C43" s="2">
        <v>4</v>
      </c>
      <c r="D43" s="3" t="s">
        <v>142</v>
      </c>
      <c r="E43" s="2">
        <v>1</v>
      </c>
      <c r="F43" s="5" t="s">
        <v>148</v>
      </c>
      <c r="G43" s="11" t="s">
        <v>149</v>
      </c>
      <c r="H43" s="8" t="s">
        <v>150</v>
      </c>
      <c r="I43" s="8" t="s">
        <v>151</v>
      </c>
      <c r="J43" s="8" t="s">
        <v>152</v>
      </c>
    </row>
    <row r="44" spans="2:10" ht="63.75" x14ac:dyDescent="0.25">
      <c r="B44" s="1">
        <f t="shared" si="6"/>
        <v>31</v>
      </c>
      <c r="C44" s="2">
        <v>4</v>
      </c>
      <c r="D44" s="3" t="s">
        <v>142</v>
      </c>
      <c r="E44" s="2">
        <v>2</v>
      </c>
      <c r="F44" s="5" t="s">
        <v>153</v>
      </c>
      <c r="G44" s="11" t="s">
        <v>154</v>
      </c>
      <c r="H44" s="8" t="s">
        <v>155</v>
      </c>
      <c r="I44" s="8" t="s">
        <v>156</v>
      </c>
      <c r="J44" s="8" t="s">
        <v>157</v>
      </c>
    </row>
    <row r="45" spans="2:10" ht="51" x14ac:dyDescent="0.25">
      <c r="B45" s="1">
        <f t="shared" si="6"/>
        <v>32</v>
      </c>
      <c r="C45" s="2">
        <v>4</v>
      </c>
      <c r="D45" s="3" t="s">
        <v>142</v>
      </c>
      <c r="E45" s="2">
        <v>2</v>
      </c>
      <c r="F45" s="5" t="s">
        <v>158</v>
      </c>
      <c r="G45" s="11" t="s">
        <v>159</v>
      </c>
      <c r="H45" s="8" t="s">
        <v>160</v>
      </c>
      <c r="I45" s="8" t="s">
        <v>161</v>
      </c>
      <c r="J45" s="8" t="s">
        <v>162</v>
      </c>
    </row>
    <row r="46" spans="2:10" ht="409.5" x14ac:dyDescent="0.25">
      <c r="B46" s="1">
        <f t="shared" si="6"/>
        <v>33</v>
      </c>
      <c r="C46" s="2">
        <v>4</v>
      </c>
      <c r="D46" s="3" t="s">
        <v>142</v>
      </c>
      <c r="E46" s="2">
        <v>3</v>
      </c>
      <c r="F46" s="5" t="s">
        <v>163</v>
      </c>
      <c r="G46" s="11" t="s">
        <v>164</v>
      </c>
      <c r="H46" s="8" t="s">
        <v>165</v>
      </c>
      <c r="I46" s="8" t="s">
        <v>166</v>
      </c>
      <c r="J46" s="8" t="s">
        <v>167</v>
      </c>
    </row>
    <row r="47" spans="2:10" ht="89.25" x14ac:dyDescent="0.25">
      <c r="B47" s="1">
        <f t="shared" si="6"/>
        <v>34</v>
      </c>
      <c r="C47" s="2">
        <v>4</v>
      </c>
      <c r="D47" s="3" t="s">
        <v>142</v>
      </c>
      <c r="E47" s="2">
        <v>3</v>
      </c>
      <c r="F47" s="5" t="s">
        <v>168</v>
      </c>
      <c r="G47" s="11" t="s">
        <v>169</v>
      </c>
      <c r="H47" s="8" t="s">
        <v>170</v>
      </c>
      <c r="I47" s="8" t="s">
        <v>171</v>
      </c>
      <c r="J47" s="8" t="s">
        <v>172</v>
      </c>
    </row>
    <row r="48" spans="2:10" ht="318.75" x14ac:dyDescent="0.25">
      <c r="B48" s="1">
        <f t="shared" si="6"/>
        <v>35</v>
      </c>
      <c r="C48" s="2">
        <v>4</v>
      </c>
      <c r="D48" s="3" t="s">
        <v>142</v>
      </c>
      <c r="E48" s="2">
        <v>4</v>
      </c>
      <c r="F48" s="5" t="s">
        <v>173</v>
      </c>
      <c r="G48" s="11" t="s">
        <v>174</v>
      </c>
      <c r="H48" s="8" t="s">
        <v>100</v>
      </c>
      <c r="I48" s="8" t="s">
        <v>93</v>
      </c>
      <c r="J48" s="8" t="s">
        <v>96</v>
      </c>
    </row>
    <row r="49" spans="2:10" ht="318.75" x14ac:dyDescent="0.25">
      <c r="B49" s="1">
        <f t="shared" si="6"/>
        <v>36</v>
      </c>
      <c r="C49" s="2">
        <v>4</v>
      </c>
      <c r="D49" s="3" t="s">
        <v>142</v>
      </c>
      <c r="E49" s="2">
        <v>4</v>
      </c>
      <c r="F49" s="5" t="s">
        <v>175</v>
      </c>
      <c r="G49" s="11" t="s">
        <v>176</v>
      </c>
      <c r="H49" s="8" t="s">
        <v>177</v>
      </c>
      <c r="I49" s="8" t="s">
        <v>178</v>
      </c>
      <c r="J49" s="8" t="s">
        <v>179</v>
      </c>
    </row>
  </sheetData>
  <autoFilter ref="B13:M49" xr:uid="{B005C0B0-9D89-4729-AC6E-7F1010ED0730}"/>
  <mergeCells count="6">
    <mergeCell ref="F11:F12"/>
    <mergeCell ref="G11:J11"/>
    <mergeCell ref="B11:B12"/>
    <mergeCell ref="C11:C12"/>
    <mergeCell ref="D11:D12"/>
    <mergeCell ref="E11:E12"/>
  </mergeCells>
  <conditionalFormatting sqref="F6:I9">
    <cfRule type="expression" dxfId="1"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C06F3-67D2-45DE-B6A2-71DDF0811130}">
  <sheetPr filterMode="1">
    <tabColor theme="9" tint="0.59999389629810485"/>
  </sheetPr>
  <dimension ref="B2:J49"/>
  <sheetViews>
    <sheetView showGridLines="0" tabSelected="1" topLeftCell="D46" zoomScaleNormal="100" workbookViewId="0">
      <selection activeCell="G47" sqref="G47"/>
    </sheetView>
  </sheetViews>
  <sheetFormatPr defaultColWidth="9" defaultRowHeight="14.25" outlineLevelRow="1" x14ac:dyDescent="0.25"/>
  <cols>
    <col min="1" max="1" width="2.85546875" style="13" customWidth="1"/>
    <col min="2" max="2" width="7.85546875" style="12" customWidth="1"/>
    <col min="3" max="3" width="9" style="12"/>
    <col min="4" max="4" width="23.42578125" style="13" customWidth="1"/>
    <col min="5" max="5" width="9" style="12"/>
    <col min="6" max="10" width="45.42578125" style="13" customWidth="1"/>
    <col min="11" max="11" width="9" style="13"/>
    <col min="12" max="12" width="12.5703125" style="13" customWidth="1"/>
    <col min="13" max="16384" width="9" style="13"/>
  </cols>
  <sheetData>
    <row r="2" spans="2:10" ht="26.25" customHeight="1" x14ac:dyDescent="0.25">
      <c r="B2" s="14" t="s">
        <v>0</v>
      </c>
    </row>
    <row r="3" spans="2:10" ht="10.35" customHeight="1" x14ac:dyDescent="0.25">
      <c r="B3" s="14"/>
    </row>
    <row r="4" spans="2:10" ht="31.5" customHeight="1" outlineLevel="1" x14ac:dyDescent="0.25">
      <c r="B4" s="14"/>
      <c r="D4" s="18" t="s">
        <v>1</v>
      </c>
      <c r="E4" s="19" t="s">
        <v>2</v>
      </c>
      <c r="F4" s="20">
        <v>1</v>
      </c>
      <c r="G4" s="20">
        <v>2</v>
      </c>
      <c r="H4" s="20">
        <v>3</v>
      </c>
      <c r="I4" s="20">
        <v>4</v>
      </c>
    </row>
    <row r="5" spans="2:10" ht="20.100000000000001" customHeight="1" outlineLevel="1" x14ac:dyDescent="0.25">
      <c r="B5" s="14"/>
      <c r="D5" s="19" t="s">
        <v>2</v>
      </c>
      <c r="E5" s="16">
        <f>SUM(E6:E9)</f>
        <v>36</v>
      </c>
      <c r="F5" s="17">
        <f>SUM(F6:F9)</f>
        <v>8</v>
      </c>
      <c r="G5" s="17">
        <f t="shared" ref="G5:I5" si="0">SUM(G6:G9)</f>
        <v>10</v>
      </c>
      <c r="H5" s="17">
        <f t="shared" si="0"/>
        <v>10</v>
      </c>
      <c r="I5" s="17">
        <f t="shared" si="0"/>
        <v>8</v>
      </c>
    </row>
    <row r="6" spans="2:10" ht="20.100000000000001" customHeight="1" outlineLevel="1" x14ac:dyDescent="0.25">
      <c r="B6" s="14"/>
      <c r="D6" s="20">
        <v>1</v>
      </c>
      <c r="E6" s="17">
        <f>SUM(F6:I6)</f>
        <v>11</v>
      </c>
      <c r="F6" s="21">
        <f t="shared" ref="F6:I9" si="1">COUNTIFS($E$14:$E$170,$D6,$C$14:$C$170,F$4)</f>
        <v>2</v>
      </c>
      <c r="G6" s="21">
        <f t="shared" si="1"/>
        <v>3</v>
      </c>
      <c r="H6" s="21">
        <f t="shared" si="1"/>
        <v>4</v>
      </c>
      <c r="I6" s="21">
        <f t="shared" si="1"/>
        <v>2</v>
      </c>
    </row>
    <row r="7" spans="2:10" ht="20.100000000000001" customHeight="1" outlineLevel="1" x14ac:dyDescent="0.25">
      <c r="B7" s="14"/>
      <c r="D7" s="20">
        <v>2</v>
      </c>
      <c r="E7" s="17">
        <f t="shared" ref="E7:E9" si="2">SUM(F7:I7)</f>
        <v>9</v>
      </c>
      <c r="F7" s="21">
        <f t="shared" si="1"/>
        <v>2</v>
      </c>
      <c r="G7" s="21">
        <f t="shared" si="1"/>
        <v>3</v>
      </c>
      <c r="H7" s="21">
        <f t="shared" si="1"/>
        <v>2</v>
      </c>
      <c r="I7" s="21">
        <f t="shared" si="1"/>
        <v>2</v>
      </c>
    </row>
    <row r="8" spans="2:10" ht="20.100000000000001" customHeight="1" outlineLevel="1" x14ac:dyDescent="0.25">
      <c r="B8" s="14"/>
      <c r="D8" s="20">
        <v>3</v>
      </c>
      <c r="E8" s="17">
        <f t="shared" si="2"/>
        <v>8</v>
      </c>
      <c r="F8" s="21">
        <f t="shared" si="1"/>
        <v>2</v>
      </c>
      <c r="G8" s="21">
        <f t="shared" si="1"/>
        <v>2</v>
      </c>
      <c r="H8" s="21">
        <f t="shared" si="1"/>
        <v>2</v>
      </c>
      <c r="I8" s="21">
        <f t="shared" si="1"/>
        <v>2</v>
      </c>
    </row>
    <row r="9" spans="2:10" ht="20.100000000000001" customHeight="1" outlineLevel="1" x14ac:dyDescent="0.25">
      <c r="B9" s="14"/>
      <c r="D9" s="20">
        <v>4</v>
      </c>
      <c r="E9" s="17">
        <f t="shared" si="2"/>
        <v>8</v>
      </c>
      <c r="F9" s="21">
        <f t="shared" si="1"/>
        <v>2</v>
      </c>
      <c r="G9" s="21">
        <f t="shared" si="1"/>
        <v>2</v>
      </c>
      <c r="H9" s="21">
        <f t="shared" si="1"/>
        <v>2</v>
      </c>
      <c r="I9" s="21">
        <f t="shared" si="1"/>
        <v>2</v>
      </c>
    </row>
    <row r="10" spans="2:10" ht="6.75" customHeight="1" x14ac:dyDescent="0.25"/>
    <row r="11" spans="2:10" ht="19.350000000000001" customHeight="1" x14ac:dyDescent="0.25">
      <c r="B11" s="27" t="s">
        <v>3</v>
      </c>
      <c r="C11" s="27" t="s">
        <v>4</v>
      </c>
      <c r="D11" s="27" t="s">
        <v>5</v>
      </c>
      <c r="E11" s="27" t="s">
        <v>6</v>
      </c>
      <c r="F11" s="25" t="s">
        <v>7</v>
      </c>
      <c r="G11" s="26" t="s">
        <v>8</v>
      </c>
      <c r="H11" s="26"/>
      <c r="I11" s="26"/>
      <c r="J11" s="26"/>
    </row>
    <row r="12" spans="2:10" ht="19.350000000000001" customHeight="1" x14ac:dyDescent="0.25">
      <c r="B12" s="27"/>
      <c r="C12" s="27"/>
      <c r="D12" s="27"/>
      <c r="E12" s="27"/>
      <c r="F12" s="25"/>
      <c r="G12" s="6" t="s">
        <v>9</v>
      </c>
      <c r="H12" s="6" t="s">
        <v>10</v>
      </c>
      <c r="I12" s="6" t="s">
        <v>11</v>
      </c>
      <c r="J12" s="6" t="s">
        <v>12</v>
      </c>
    </row>
    <row r="13" spans="2:10" s="15" customFormat="1" ht="12" x14ac:dyDescent="0.25">
      <c r="B13" s="4" t="str">
        <f t="shared" ref="B13:J13" si="3">"("&amp;COLUMN()-COLUMN($A$13)&amp;")"</f>
        <v>(1)</v>
      </c>
      <c r="C13" s="4" t="str">
        <f t="shared" si="3"/>
        <v>(2)</v>
      </c>
      <c r="D13" s="4" t="str">
        <f t="shared" si="3"/>
        <v>(3)</v>
      </c>
      <c r="E13" s="4" t="str">
        <f t="shared" si="3"/>
        <v>(4)</v>
      </c>
      <c r="F13" s="4" t="str">
        <f t="shared" si="3"/>
        <v>(5)</v>
      </c>
      <c r="G13" s="4" t="str">
        <f t="shared" si="3"/>
        <v>(6)</v>
      </c>
      <c r="H13" s="4" t="str">
        <f t="shared" si="3"/>
        <v>(7)</v>
      </c>
      <c r="I13" s="4" t="str">
        <f t="shared" si="3"/>
        <v>(8)</v>
      </c>
      <c r="J13" s="4" t="str">
        <f t="shared" si="3"/>
        <v>(9)</v>
      </c>
    </row>
    <row r="14" spans="2:10" ht="102" x14ac:dyDescent="0.25">
      <c r="B14" s="1">
        <f>ROW()-ROW($B$13)</f>
        <v>1</v>
      </c>
      <c r="C14" s="2">
        <v>1</v>
      </c>
      <c r="D14" s="3" t="s">
        <v>13</v>
      </c>
      <c r="E14" s="2">
        <v>1</v>
      </c>
      <c r="F14" s="5" t="s">
        <v>181</v>
      </c>
      <c r="G14" s="9" t="s">
        <v>182</v>
      </c>
      <c r="H14" s="7" t="s">
        <v>16</v>
      </c>
      <c r="I14" s="7" t="s">
        <v>17</v>
      </c>
      <c r="J14" s="7" t="s">
        <v>18</v>
      </c>
    </row>
    <row r="15" spans="2:10" ht="102" x14ac:dyDescent="0.25">
      <c r="B15" s="1">
        <f t="shared" ref="B15:B23" si="4">ROW()-ROW($B$13)</f>
        <v>2</v>
      </c>
      <c r="C15" s="2">
        <v>1</v>
      </c>
      <c r="D15" s="3" t="s">
        <v>13</v>
      </c>
      <c r="E15" s="2">
        <v>1</v>
      </c>
      <c r="F15" s="5" t="s">
        <v>183</v>
      </c>
      <c r="G15" s="10" t="s">
        <v>184</v>
      </c>
      <c r="H15" s="3" t="s">
        <v>21</v>
      </c>
      <c r="I15" s="3" t="s">
        <v>22</v>
      </c>
      <c r="J15" s="3" t="s">
        <v>23</v>
      </c>
    </row>
    <row r="16" spans="2:10" ht="102" x14ac:dyDescent="0.25">
      <c r="B16" s="1">
        <f t="shared" si="4"/>
        <v>3</v>
      </c>
      <c r="C16" s="2">
        <v>1</v>
      </c>
      <c r="D16" s="3" t="s">
        <v>13</v>
      </c>
      <c r="E16" s="2">
        <v>2</v>
      </c>
      <c r="F16" s="5" t="s">
        <v>24</v>
      </c>
      <c r="G16" s="10" t="s">
        <v>185</v>
      </c>
      <c r="H16" s="3" t="s">
        <v>26</v>
      </c>
      <c r="I16" s="3" t="s">
        <v>27</v>
      </c>
      <c r="J16" s="3" t="s">
        <v>28</v>
      </c>
    </row>
    <row r="17" spans="2:10" ht="102" x14ac:dyDescent="0.25">
      <c r="B17" s="1">
        <f t="shared" si="4"/>
        <v>4</v>
      </c>
      <c r="C17" s="2">
        <v>1</v>
      </c>
      <c r="D17" s="3" t="s">
        <v>13</v>
      </c>
      <c r="E17" s="2">
        <v>2</v>
      </c>
      <c r="F17" s="5" t="s">
        <v>29</v>
      </c>
      <c r="G17" s="11" t="s">
        <v>186</v>
      </c>
      <c r="H17" s="8" t="s">
        <v>31</v>
      </c>
      <c r="I17" s="8" t="s">
        <v>32</v>
      </c>
      <c r="J17" s="8" t="s">
        <v>33</v>
      </c>
    </row>
    <row r="18" spans="2:10" ht="102" x14ac:dyDescent="0.25">
      <c r="B18" s="1">
        <f t="shared" si="4"/>
        <v>5</v>
      </c>
      <c r="C18" s="2">
        <v>1</v>
      </c>
      <c r="D18" s="3" t="s">
        <v>13</v>
      </c>
      <c r="E18" s="2">
        <v>3</v>
      </c>
      <c r="F18" s="5" t="s">
        <v>34</v>
      </c>
      <c r="G18" s="11" t="s">
        <v>189</v>
      </c>
      <c r="H18" s="8" t="s">
        <v>36</v>
      </c>
      <c r="I18" s="8" t="s">
        <v>37</v>
      </c>
      <c r="J18" s="8" t="s">
        <v>38</v>
      </c>
    </row>
    <row r="19" spans="2:10" ht="102" x14ac:dyDescent="0.25">
      <c r="B19" s="1">
        <f t="shared" si="4"/>
        <v>6</v>
      </c>
      <c r="C19" s="2">
        <v>1</v>
      </c>
      <c r="D19" s="3" t="s">
        <v>13</v>
      </c>
      <c r="E19" s="2">
        <v>3</v>
      </c>
      <c r="F19" s="5" t="s">
        <v>187</v>
      </c>
      <c r="G19" s="10" t="s">
        <v>188</v>
      </c>
      <c r="H19" s="3" t="s">
        <v>41</v>
      </c>
      <c r="I19" s="3" t="s">
        <v>42</v>
      </c>
      <c r="J19" s="3" t="s">
        <v>43</v>
      </c>
    </row>
    <row r="20" spans="2:10" ht="102" hidden="1" x14ac:dyDescent="0.25">
      <c r="B20" s="1">
        <f t="shared" si="4"/>
        <v>7</v>
      </c>
      <c r="C20" s="2">
        <v>1</v>
      </c>
      <c r="D20" s="3" t="s">
        <v>13</v>
      </c>
      <c r="E20" s="2">
        <v>4</v>
      </c>
      <c r="F20" s="5" t="s">
        <v>44</v>
      </c>
      <c r="G20" s="10" t="s">
        <v>45</v>
      </c>
      <c r="H20" s="3" t="s">
        <v>46</v>
      </c>
      <c r="I20" s="3" t="s">
        <v>47</v>
      </c>
      <c r="J20" s="3" t="s">
        <v>48</v>
      </c>
    </row>
    <row r="21" spans="2:10" ht="255" hidden="1" x14ac:dyDescent="0.25">
      <c r="B21" s="1">
        <f t="shared" si="4"/>
        <v>8</v>
      </c>
      <c r="C21" s="2">
        <v>1</v>
      </c>
      <c r="D21" s="3" t="s">
        <v>13</v>
      </c>
      <c r="E21" s="2">
        <v>4</v>
      </c>
      <c r="F21" s="5" t="s">
        <v>49</v>
      </c>
      <c r="G21" s="10" t="s">
        <v>50</v>
      </c>
      <c r="H21" s="3" t="s">
        <v>51</v>
      </c>
      <c r="I21" s="3" t="s">
        <v>52</v>
      </c>
      <c r="J21" s="3" t="s">
        <v>53</v>
      </c>
    </row>
    <row r="22" spans="2:10" ht="89.25" x14ac:dyDescent="0.25">
      <c r="B22" s="1">
        <f t="shared" si="4"/>
        <v>9</v>
      </c>
      <c r="C22" s="2">
        <v>2</v>
      </c>
      <c r="D22" s="3" t="s">
        <v>54</v>
      </c>
      <c r="E22" s="2">
        <v>1</v>
      </c>
      <c r="F22" s="5" t="s">
        <v>55</v>
      </c>
      <c r="G22" s="10" t="s">
        <v>190</v>
      </c>
      <c r="H22" s="3" t="s">
        <v>57</v>
      </c>
      <c r="I22" s="3" t="s">
        <v>58</v>
      </c>
      <c r="J22" s="3" t="s">
        <v>59</v>
      </c>
    </row>
    <row r="23" spans="2:10" ht="89.25" x14ac:dyDescent="0.25">
      <c r="B23" s="1">
        <f t="shared" si="4"/>
        <v>10</v>
      </c>
      <c r="C23" s="2">
        <v>2</v>
      </c>
      <c r="D23" s="3" t="s">
        <v>54</v>
      </c>
      <c r="E23" s="2">
        <v>1</v>
      </c>
      <c r="F23" s="5" t="s">
        <v>192</v>
      </c>
      <c r="G23" s="10" t="s">
        <v>191</v>
      </c>
      <c r="H23" s="3" t="s">
        <v>62</v>
      </c>
      <c r="I23" s="3" t="s">
        <v>63</v>
      </c>
      <c r="J23" s="3" t="s">
        <v>64</v>
      </c>
    </row>
    <row r="24" spans="2:10" ht="89.25" x14ac:dyDescent="0.25">
      <c r="B24" s="1">
        <f>ROW()-ROW($B$13)</f>
        <v>11</v>
      </c>
      <c r="C24" s="2">
        <v>2</v>
      </c>
      <c r="D24" s="3" t="s">
        <v>54</v>
      </c>
      <c r="E24" s="2">
        <v>1</v>
      </c>
      <c r="F24" s="5" t="s">
        <v>65</v>
      </c>
      <c r="G24" s="9" t="s">
        <v>211</v>
      </c>
      <c r="H24" s="7" t="s">
        <v>67</v>
      </c>
      <c r="I24" s="7" t="s">
        <v>68</v>
      </c>
      <c r="J24" s="7" t="s">
        <v>69</v>
      </c>
    </row>
    <row r="25" spans="2:10" ht="140.25" customHeight="1" x14ac:dyDescent="0.25">
      <c r="B25" s="1">
        <f t="shared" ref="B25:B49" si="5">ROW()-ROW($B$13)</f>
        <v>12</v>
      </c>
      <c r="C25" s="2">
        <v>2</v>
      </c>
      <c r="D25" s="3" t="s">
        <v>54</v>
      </c>
      <c r="E25" s="2">
        <v>2</v>
      </c>
      <c r="F25" s="5" t="s">
        <v>70</v>
      </c>
      <c r="G25" s="10" t="s">
        <v>71</v>
      </c>
      <c r="H25" s="3" t="s">
        <v>72</v>
      </c>
      <c r="I25" s="3" t="s">
        <v>73</v>
      </c>
      <c r="J25" s="3" t="s">
        <v>74</v>
      </c>
    </row>
    <row r="26" spans="2:10" ht="127.5" x14ac:dyDescent="0.25">
      <c r="B26" s="1">
        <f t="shared" si="5"/>
        <v>13</v>
      </c>
      <c r="C26" s="2">
        <v>2</v>
      </c>
      <c r="D26" s="3" t="s">
        <v>54</v>
      </c>
      <c r="E26" s="2">
        <v>2</v>
      </c>
      <c r="F26" s="5" t="s">
        <v>75</v>
      </c>
      <c r="G26" s="10" t="s">
        <v>193</v>
      </c>
      <c r="H26" s="3" t="s">
        <v>77</v>
      </c>
      <c r="I26" s="3" t="s">
        <v>78</v>
      </c>
      <c r="J26" s="3" t="s">
        <v>79</v>
      </c>
    </row>
    <row r="27" spans="2:10" ht="89.25" x14ac:dyDescent="0.25">
      <c r="B27" s="1">
        <f t="shared" si="5"/>
        <v>14</v>
      </c>
      <c r="C27" s="2">
        <v>2</v>
      </c>
      <c r="D27" s="3" t="s">
        <v>54</v>
      </c>
      <c r="E27" s="2">
        <v>2</v>
      </c>
      <c r="F27" s="5" t="s">
        <v>80</v>
      </c>
      <c r="G27" s="10" t="s">
        <v>81</v>
      </c>
      <c r="H27" s="3" t="s">
        <v>82</v>
      </c>
      <c r="I27" s="3" t="s">
        <v>83</v>
      </c>
      <c r="J27" s="3" t="s">
        <v>84</v>
      </c>
    </row>
    <row r="28" spans="2:10" ht="318.75" x14ac:dyDescent="0.25">
      <c r="B28" s="1">
        <f t="shared" si="5"/>
        <v>15</v>
      </c>
      <c r="C28" s="2">
        <v>2</v>
      </c>
      <c r="D28" s="3" t="s">
        <v>54</v>
      </c>
      <c r="E28" s="2">
        <v>3</v>
      </c>
      <c r="F28" s="5" t="s">
        <v>212</v>
      </c>
      <c r="G28" s="10" t="s">
        <v>86</v>
      </c>
      <c r="H28" s="3" t="s">
        <v>71</v>
      </c>
      <c r="I28" s="3" t="s">
        <v>87</v>
      </c>
      <c r="J28" s="3" t="s">
        <v>88</v>
      </c>
    </row>
    <row r="29" spans="2:10" ht="395.25" x14ac:dyDescent="0.25">
      <c r="B29" s="1">
        <f t="shared" si="5"/>
        <v>16</v>
      </c>
      <c r="C29" s="2">
        <v>2</v>
      </c>
      <c r="D29" s="3" t="s">
        <v>54</v>
      </c>
      <c r="E29" s="2">
        <v>3</v>
      </c>
      <c r="F29" s="5" t="s">
        <v>194</v>
      </c>
      <c r="G29" s="11" t="s">
        <v>90</v>
      </c>
      <c r="H29" s="8" t="s">
        <v>91</v>
      </c>
      <c r="I29" s="8" t="s">
        <v>92</v>
      </c>
      <c r="J29" s="8" t="s">
        <v>93</v>
      </c>
    </row>
    <row r="30" spans="2:10" ht="310.5" hidden="1" customHeight="1" x14ac:dyDescent="0.25">
      <c r="B30" s="1">
        <f t="shared" si="5"/>
        <v>17</v>
      </c>
      <c r="C30" s="2">
        <v>2</v>
      </c>
      <c r="D30" s="3" t="s">
        <v>54</v>
      </c>
      <c r="E30" s="2">
        <v>4</v>
      </c>
      <c r="F30" s="5" t="s">
        <v>94</v>
      </c>
      <c r="G30" s="11" t="s">
        <v>95</v>
      </c>
      <c r="H30" s="8" t="s">
        <v>96</v>
      </c>
      <c r="I30" s="8" t="s">
        <v>97</v>
      </c>
      <c r="J30" s="8" t="s">
        <v>98</v>
      </c>
    </row>
    <row r="31" spans="2:10" ht="409.5" hidden="1" x14ac:dyDescent="0.25">
      <c r="B31" s="1">
        <f t="shared" si="5"/>
        <v>18</v>
      </c>
      <c r="C31" s="2">
        <v>2</v>
      </c>
      <c r="D31" s="3" t="s">
        <v>54</v>
      </c>
      <c r="E31" s="2">
        <v>4</v>
      </c>
      <c r="F31" s="5" t="s">
        <v>99</v>
      </c>
      <c r="G31" s="11" t="s">
        <v>100</v>
      </c>
      <c r="H31" s="8" t="s">
        <v>101</v>
      </c>
      <c r="I31" s="8" t="s">
        <v>98</v>
      </c>
      <c r="J31" s="8" t="s">
        <v>93</v>
      </c>
    </row>
    <row r="32" spans="2:10" ht="63.75" x14ac:dyDescent="0.25">
      <c r="B32" s="1">
        <f t="shared" si="5"/>
        <v>19</v>
      </c>
      <c r="C32" s="2">
        <v>3</v>
      </c>
      <c r="D32" s="3" t="s">
        <v>102</v>
      </c>
      <c r="E32" s="2">
        <v>1</v>
      </c>
      <c r="F32" s="5" t="s">
        <v>103</v>
      </c>
      <c r="G32" s="11" t="s">
        <v>195</v>
      </c>
      <c r="H32" s="8" t="s">
        <v>105</v>
      </c>
      <c r="I32" s="8" t="s">
        <v>106</v>
      </c>
      <c r="J32" s="8" t="s">
        <v>107</v>
      </c>
    </row>
    <row r="33" spans="2:10" ht="128.44999999999999" customHeight="1" x14ac:dyDescent="0.25">
      <c r="B33" s="1">
        <f t="shared" si="5"/>
        <v>20</v>
      </c>
      <c r="C33" s="2">
        <v>3</v>
      </c>
      <c r="D33" s="3" t="s">
        <v>102</v>
      </c>
      <c r="E33" s="2">
        <v>1</v>
      </c>
      <c r="F33" s="5" t="s">
        <v>196</v>
      </c>
      <c r="G33" s="11" t="s">
        <v>100</v>
      </c>
      <c r="H33" s="8" t="s">
        <v>101</v>
      </c>
      <c r="I33" s="8" t="s">
        <v>97</v>
      </c>
      <c r="J33" s="8" t="s">
        <v>96</v>
      </c>
    </row>
    <row r="34" spans="2:10" ht="63.75" x14ac:dyDescent="0.25">
      <c r="B34" s="1">
        <f t="shared" si="5"/>
        <v>21</v>
      </c>
      <c r="C34" s="2">
        <v>3</v>
      </c>
      <c r="D34" s="3" t="s">
        <v>102</v>
      </c>
      <c r="E34" s="2">
        <v>1</v>
      </c>
      <c r="F34" s="5" t="s">
        <v>109</v>
      </c>
      <c r="G34" s="11" t="s">
        <v>110</v>
      </c>
      <c r="H34" s="8" t="s">
        <v>111</v>
      </c>
      <c r="I34" s="8" t="s">
        <v>112</v>
      </c>
      <c r="J34" s="8" t="s">
        <v>113</v>
      </c>
    </row>
    <row r="35" spans="2:10" ht="63.75" x14ac:dyDescent="0.25">
      <c r="B35" s="1">
        <f t="shared" si="5"/>
        <v>22</v>
      </c>
      <c r="C35" s="2">
        <v>3</v>
      </c>
      <c r="D35" s="3" t="s">
        <v>102</v>
      </c>
      <c r="E35" s="2">
        <v>1</v>
      </c>
      <c r="F35" s="5" t="s">
        <v>197</v>
      </c>
      <c r="G35" s="11" t="s">
        <v>198</v>
      </c>
      <c r="H35" s="8" t="s">
        <v>116</v>
      </c>
      <c r="I35" s="8" t="s">
        <v>117</v>
      </c>
      <c r="J35" s="8" t="s">
        <v>118</v>
      </c>
    </row>
    <row r="36" spans="2:10" ht="63.75" x14ac:dyDescent="0.25">
      <c r="B36" s="1">
        <f t="shared" si="5"/>
        <v>23</v>
      </c>
      <c r="C36" s="2">
        <v>3</v>
      </c>
      <c r="D36" s="3" t="s">
        <v>102</v>
      </c>
      <c r="E36" s="2">
        <v>2</v>
      </c>
      <c r="F36" s="5" t="s">
        <v>119</v>
      </c>
      <c r="G36" s="11" t="s">
        <v>120</v>
      </c>
      <c r="H36" s="8" t="s">
        <v>121</v>
      </c>
      <c r="I36" s="8" t="s">
        <v>122</v>
      </c>
      <c r="J36" s="8" t="s">
        <v>123</v>
      </c>
    </row>
    <row r="37" spans="2:10" ht="63.75" x14ac:dyDescent="0.25">
      <c r="B37" s="1">
        <f t="shared" si="5"/>
        <v>24</v>
      </c>
      <c r="C37" s="2">
        <v>3</v>
      </c>
      <c r="D37" s="3" t="s">
        <v>102</v>
      </c>
      <c r="E37" s="2">
        <v>2</v>
      </c>
      <c r="F37" s="5" t="s">
        <v>124</v>
      </c>
      <c r="G37" s="11" t="s">
        <v>125</v>
      </c>
      <c r="H37" s="8" t="s">
        <v>126</v>
      </c>
      <c r="I37" s="8" t="s">
        <v>127</v>
      </c>
      <c r="J37" s="8" t="s">
        <v>128</v>
      </c>
    </row>
    <row r="38" spans="2:10" ht="76.5" x14ac:dyDescent="0.25">
      <c r="B38" s="1">
        <f t="shared" si="5"/>
        <v>25</v>
      </c>
      <c r="C38" s="2">
        <v>3</v>
      </c>
      <c r="D38" s="3" t="s">
        <v>102</v>
      </c>
      <c r="E38" s="2">
        <v>3</v>
      </c>
      <c r="F38" s="5" t="s">
        <v>129</v>
      </c>
      <c r="G38" s="11" t="s">
        <v>199</v>
      </c>
      <c r="H38" s="8" t="s">
        <v>131</v>
      </c>
      <c r="I38" s="8" t="s">
        <v>132</v>
      </c>
      <c r="J38" s="8" t="s">
        <v>133</v>
      </c>
    </row>
    <row r="39" spans="2:10" ht="127.5" x14ac:dyDescent="0.25">
      <c r="B39" s="1">
        <f t="shared" si="5"/>
        <v>26</v>
      </c>
      <c r="C39" s="2">
        <v>3</v>
      </c>
      <c r="D39" s="3" t="s">
        <v>102</v>
      </c>
      <c r="E39" s="2">
        <v>3</v>
      </c>
      <c r="F39" s="5" t="s">
        <v>134</v>
      </c>
      <c r="G39" s="11" t="s">
        <v>200</v>
      </c>
      <c r="H39" s="8" t="s">
        <v>136</v>
      </c>
      <c r="I39" s="8" t="s">
        <v>137</v>
      </c>
      <c r="J39" s="8" t="s">
        <v>138</v>
      </c>
    </row>
    <row r="40" spans="2:10" ht="318.75" hidden="1" x14ac:dyDescent="0.25">
      <c r="B40" s="1">
        <f t="shared" si="5"/>
        <v>27</v>
      </c>
      <c r="C40" s="2">
        <v>3</v>
      </c>
      <c r="D40" s="3" t="s">
        <v>102</v>
      </c>
      <c r="E40" s="2">
        <v>4</v>
      </c>
      <c r="F40" s="5" t="s">
        <v>139</v>
      </c>
      <c r="G40" s="11" t="s">
        <v>93</v>
      </c>
      <c r="H40" s="8" t="s">
        <v>101</v>
      </c>
      <c r="I40" s="8" t="s">
        <v>140</v>
      </c>
      <c r="J40" s="8" t="s">
        <v>96</v>
      </c>
    </row>
    <row r="41" spans="2:10" ht="293.25" hidden="1" x14ac:dyDescent="0.25">
      <c r="B41" s="1">
        <f t="shared" si="5"/>
        <v>28</v>
      </c>
      <c r="C41" s="2">
        <v>3</v>
      </c>
      <c r="D41" s="22" t="s">
        <v>102</v>
      </c>
      <c r="E41" s="23">
        <v>4</v>
      </c>
      <c r="F41" s="24" t="s">
        <v>141</v>
      </c>
      <c r="G41" s="11" t="s">
        <v>100</v>
      </c>
      <c r="H41" s="8" t="s">
        <v>93</v>
      </c>
      <c r="I41" s="8" t="s">
        <v>101</v>
      </c>
      <c r="J41" s="8" t="s">
        <v>140</v>
      </c>
    </row>
    <row r="42" spans="2:10" ht="63" customHeight="1" x14ac:dyDescent="0.25">
      <c r="B42" s="1">
        <f t="shared" si="5"/>
        <v>29</v>
      </c>
      <c r="C42" s="2">
        <v>4</v>
      </c>
      <c r="D42" s="3" t="s">
        <v>142</v>
      </c>
      <c r="E42" s="2">
        <v>1</v>
      </c>
      <c r="F42" s="5" t="s">
        <v>143</v>
      </c>
      <c r="G42" s="11" t="s">
        <v>201</v>
      </c>
      <c r="H42" s="8" t="s">
        <v>145</v>
      </c>
      <c r="I42" s="8" t="s">
        <v>146</v>
      </c>
      <c r="J42" s="8" t="s">
        <v>147</v>
      </c>
    </row>
    <row r="43" spans="2:10" ht="63.75" x14ac:dyDescent="0.25">
      <c r="B43" s="1">
        <f t="shared" si="5"/>
        <v>30</v>
      </c>
      <c r="C43" s="2">
        <v>4</v>
      </c>
      <c r="D43" s="3" t="s">
        <v>142</v>
      </c>
      <c r="E43" s="2">
        <v>1</v>
      </c>
      <c r="F43" s="5" t="s">
        <v>202</v>
      </c>
      <c r="G43" s="11" t="s">
        <v>203</v>
      </c>
      <c r="H43" s="8" t="s">
        <v>150</v>
      </c>
      <c r="I43" s="8" t="s">
        <v>151</v>
      </c>
      <c r="J43" s="8" t="s">
        <v>152</v>
      </c>
    </row>
    <row r="44" spans="2:10" ht="63.75" x14ac:dyDescent="0.25">
      <c r="B44" s="1">
        <f t="shared" si="5"/>
        <v>31</v>
      </c>
      <c r="C44" s="2">
        <v>4</v>
      </c>
      <c r="D44" s="3" t="s">
        <v>142</v>
      </c>
      <c r="E44" s="2">
        <v>2</v>
      </c>
      <c r="F44" s="5" t="s">
        <v>153</v>
      </c>
      <c r="G44" s="11" t="s">
        <v>154</v>
      </c>
      <c r="H44" s="8" t="s">
        <v>204</v>
      </c>
      <c r="I44" s="8" t="s">
        <v>205</v>
      </c>
      <c r="J44" s="8" t="s">
        <v>206</v>
      </c>
    </row>
    <row r="45" spans="2:10" ht="63" customHeight="1" x14ac:dyDescent="0.25">
      <c r="B45" s="1">
        <f t="shared" si="5"/>
        <v>32</v>
      </c>
      <c r="C45" s="2">
        <v>4</v>
      </c>
      <c r="D45" s="3" t="s">
        <v>142</v>
      </c>
      <c r="E45" s="2">
        <v>2</v>
      </c>
      <c r="F45" s="5" t="s">
        <v>208</v>
      </c>
      <c r="G45" s="11" t="s">
        <v>207</v>
      </c>
      <c r="H45" s="8" t="s">
        <v>160</v>
      </c>
      <c r="I45" s="8" t="s">
        <v>161</v>
      </c>
      <c r="J45" s="8" t="s">
        <v>162</v>
      </c>
    </row>
    <row r="46" spans="2:10" ht="409.5" x14ac:dyDescent="0.25">
      <c r="B46" s="1">
        <f t="shared" si="5"/>
        <v>33</v>
      </c>
      <c r="C46" s="2">
        <v>4</v>
      </c>
      <c r="D46" s="3" t="s">
        <v>142</v>
      </c>
      <c r="E46" s="2">
        <v>3</v>
      </c>
      <c r="F46" s="5" t="s">
        <v>163</v>
      </c>
      <c r="G46" s="11" t="s">
        <v>209</v>
      </c>
      <c r="H46" s="8" t="s">
        <v>165</v>
      </c>
      <c r="I46" s="8" t="s">
        <v>166</v>
      </c>
      <c r="J46" s="8" t="s">
        <v>167</v>
      </c>
    </row>
    <row r="47" spans="2:10" ht="89.25" x14ac:dyDescent="0.25">
      <c r="B47" s="1">
        <f t="shared" si="5"/>
        <v>34</v>
      </c>
      <c r="C47" s="2">
        <v>4</v>
      </c>
      <c r="D47" s="3" t="s">
        <v>142</v>
      </c>
      <c r="E47" s="2">
        <v>3</v>
      </c>
      <c r="F47" s="5" t="s">
        <v>210</v>
      </c>
      <c r="G47" s="11" t="s">
        <v>213</v>
      </c>
      <c r="H47" s="8" t="s">
        <v>170</v>
      </c>
      <c r="I47" s="8" t="s">
        <v>171</v>
      </c>
      <c r="J47" s="8" t="s">
        <v>172</v>
      </c>
    </row>
    <row r="48" spans="2:10" ht="318.75" hidden="1" x14ac:dyDescent="0.25">
      <c r="B48" s="1">
        <f t="shared" si="5"/>
        <v>35</v>
      </c>
      <c r="C48" s="2">
        <v>4</v>
      </c>
      <c r="D48" s="3" t="s">
        <v>142</v>
      </c>
      <c r="E48" s="2">
        <v>4</v>
      </c>
      <c r="F48" s="5" t="s">
        <v>173</v>
      </c>
      <c r="G48" s="11" t="s">
        <v>180</v>
      </c>
      <c r="H48" s="8" t="s">
        <v>100</v>
      </c>
      <c r="I48" s="8" t="s">
        <v>93</v>
      </c>
      <c r="J48" s="8" t="s">
        <v>96</v>
      </c>
    </row>
    <row r="49" spans="2:10" ht="318.75" hidden="1" x14ac:dyDescent="0.25">
      <c r="B49" s="1">
        <f t="shared" si="5"/>
        <v>36</v>
      </c>
      <c r="C49" s="2">
        <v>4</v>
      </c>
      <c r="D49" s="3" t="s">
        <v>142</v>
      </c>
      <c r="E49" s="2">
        <v>4</v>
      </c>
      <c r="F49" s="5" t="s">
        <v>175</v>
      </c>
      <c r="G49" s="11" t="s">
        <v>176</v>
      </c>
      <c r="H49" s="8" t="s">
        <v>177</v>
      </c>
      <c r="I49" s="8" t="s">
        <v>178</v>
      </c>
      <c r="J49" s="8" t="s">
        <v>179</v>
      </c>
    </row>
  </sheetData>
  <autoFilter ref="B13:M49" xr:uid="{B005C0B0-9D89-4729-AC6E-7F1010ED0730}">
    <filterColumn colId="3">
      <filters>
        <filter val="1"/>
        <filter val="2"/>
        <filter val="3"/>
      </filters>
    </filterColumn>
  </autoFilter>
  <mergeCells count="6">
    <mergeCell ref="G11:J11"/>
    <mergeCell ref="B11:B12"/>
    <mergeCell ref="C11:C12"/>
    <mergeCell ref="D11:D12"/>
    <mergeCell ref="E11:E12"/>
    <mergeCell ref="F11:F12"/>
  </mergeCells>
  <conditionalFormatting sqref="F6:I9">
    <cfRule type="expression" dxfId="0" priority="1">
      <formula>F6&lt;2</formula>
    </cfRule>
  </conditionalFormatting>
  <pageMargins left="0.7" right="0.7" top="0.75" bottom="0.75" header="0.3" footer="0.3"/>
  <pageSetup scale="32" orientation="portrait" horizontalDpi="1200" verticalDpi="1200" r:id="rId1"/>
  <colBreaks count="1" manualBreakCount="1">
    <brk id="10"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145C5B680827441B69CAB32F8A60E3F" ma:contentTypeVersion="4" ma:contentTypeDescription="Create a new document." ma:contentTypeScope="" ma:versionID="f4f8d7ee26dba98568fb6117f4f7fc8a">
  <xsd:schema xmlns:xsd="http://www.w3.org/2001/XMLSchema" xmlns:xs="http://www.w3.org/2001/XMLSchema" xmlns:p="http://schemas.microsoft.com/office/2006/metadata/properties" xmlns:ns2="683ca181-dc2f-41e0-9620-fc2aee1bcc1f" targetNamespace="http://schemas.microsoft.com/office/2006/metadata/properties" ma:root="true" ma:fieldsID="cadb348d7b8eb5e97c3a92bb04407089" ns2:_="">
    <xsd:import namespace="683ca181-dc2f-41e0-9620-fc2aee1bcc1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3ca181-dc2f-41e0-9620-fc2aee1bcc1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56B8799-2581-45B5-B0B9-FA41E5BDD987}">
  <ds:schemaRefs>
    <ds:schemaRef ds:uri="http://schemas.microsoft.com/sharepoint/v3/contenttype/forms"/>
  </ds:schemaRefs>
</ds:datastoreItem>
</file>

<file path=customXml/itemProps2.xml><?xml version="1.0" encoding="utf-8"?>
<ds:datastoreItem xmlns:ds="http://schemas.openxmlformats.org/officeDocument/2006/customXml" ds:itemID="{78C36775-716F-4F71-9018-2A4B2F63ED0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494E0774-D66D-4117-92FC-D842A9B6BB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3ca181-dc2f-41e0-9620-fc2aee1bcc1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d793fc4-a71f-4652-9576-da0ac3edd3bb}" enabled="1" method="Standard" siteId="{8bc01b57-838e-4194-982d-4c58278d0de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P20</vt:lpstr>
      <vt:lpstr>P20_final</vt:lpstr>
      <vt:lpstr>'P20'!Print_Area</vt:lpstr>
      <vt:lpstr>P20_final!Print_Area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Nong Thi Huong</dc:creator>
  <cp:keywords/>
  <dc:description/>
  <cp:lastModifiedBy>Oanh, Kieu Thi Kim Oanh</cp:lastModifiedBy>
  <cp:revision/>
  <dcterms:created xsi:type="dcterms:W3CDTF">2025-07-01T11:38:19Z</dcterms:created>
  <dcterms:modified xsi:type="dcterms:W3CDTF">2025-08-07T07:10:31Z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0x010100C145C5B680827441B69CAB32F8A60E3F</vt:lpwstr>
  </property>
</Properties>
</file>