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DGNL\DGNL-2026 2\DGNL-2026\"/>
    </mc:Choice>
  </mc:AlternateContent>
  <xr:revisionPtr revIDLastSave="0" documentId="13_ncr:1_{FB807160-59CE-4647-ADCE-9522F5C46521}" xr6:coauthVersionLast="47" xr6:coauthVersionMax="47" xr10:uidLastSave="{00000000-0000-0000-0000-000000000000}"/>
  <bookViews>
    <workbookView xWindow="-120" yWindow="-120" windowWidth="29040" windowHeight="15720" xr2:uid="{0A323993-6B0E-4465-9440-DABB234748ED}"/>
  </bookViews>
  <sheets>
    <sheet name="Sheet1" sheetId="1" r:id="rId1"/>
  </sheets>
  <definedNames>
    <definedName name="_xlnm._FilterDatabase" localSheetId="0" hidden="1">Sheet1!$B$13:$M$137</definedName>
    <definedName name="_xlnm.Print_Area" localSheetId="0">Sheet1!$B$1:$L$113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E8" i="1"/>
  <c r="E9" i="1"/>
  <c r="E6" i="1"/>
  <c r="E5" i="1" s="1"/>
  <c r="I6" i="1"/>
  <c r="I7" i="1"/>
  <c r="I8" i="1"/>
  <c r="I9" i="1"/>
  <c r="F7" i="1"/>
  <c r="G7" i="1"/>
  <c r="H7" i="1"/>
  <c r="F8" i="1"/>
  <c r="G8" i="1"/>
  <c r="H8" i="1"/>
  <c r="F9" i="1"/>
  <c r="G9" i="1"/>
  <c r="H9" i="1"/>
  <c r="I5" i="1" l="1"/>
  <c r="H6" i="1"/>
  <c r="G6" i="1"/>
  <c r="F6" i="1"/>
  <c r="B109" i="1"/>
  <c r="B108" i="1"/>
  <c r="B107" i="1"/>
  <c r="B106" i="1"/>
  <c r="B97" i="1"/>
  <c r="B96" i="1"/>
  <c r="B95" i="1"/>
  <c r="B94" i="1"/>
  <c r="B93" i="1"/>
  <c r="B92" i="1"/>
  <c r="B91" i="1"/>
  <c r="B90" i="1"/>
  <c r="B89" i="1"/>
  <c r="B88" i="1"/>
  <c r="B87" i="1"/>
  <c r="B86" i="1"/>
  <c r="B34" i="1"/>
  <c r="B33" i="1"/>
  <c r="B32" i="1"/>
  <c r="B31" i="1"/>
  <c r="B30" i="1"/>
  <c r="B29" i="1"/>
  <c r="B28" i="1"/>
  <c r="B27" i="1"/>
  <c r="B26" i="1"/>
  <c r="B25" i="1"/>
  <c r="B24" i="1"/>
  <c r="B23" i="1"/>
  <c r="B22" i="1"/>
  <c r="B21" i="1"/>
  <c r="B20" i="1"/>
  <c r="B19" i="1"/>
  <c r="B18" i="1"/>
  <c r="B17" i="1"/>
  <c r="B16" i="1"/>
  <c r="B15" i="1"/>
  <c r="B14" i="1"/>
  <c r="B55" i="1"/>
  <c r="B54" i="1"/>
  <c r="B53" i="1"/>
  <c r="B52" i="1"/>
  <c r="B51" i="1"/>
  <c r="B50" i="1"/>
  <c r="B49" i="1"/>
  <c r="B48" i="1"/>
  <c r="B47" i="1"/>
  <c r="B46" i="1"/>
  <c r="B45" i="1"/>
  <c r="B44" i="1"/>
  <c r="B43" i="1"/>
  <c r="B42" i="1"/>
  <c r="B41" i="1"/>
  <c r="B40" i="1"/>
  <c r="B39" i="1"/>
  <c r="B38" i="1"/>
  <c r="B37" i="1"/>
  <c r="B36" i="1"/>
  <c r="B35" i="1"/>
  <c r="B76" i="1"/>
  <c r="B75" i="1"/>
  <c r="B74" i="1"/>
  <c r="B73" i="1"/>
  <c r="B72" i="1"/>
  <c r="B71" i="1"/>
  <c r="B70" i="1"/>
  <c r="B69" i="1"/>
  <c r="B68" i="1"/>
  <c r="B67" i="1"/>
  <c r="B66" i="1"/>
  <c r="B65" i="1"/>
  <c r="B64" i="1"/>
  <c r="B63" i="1"/>
  <c r="B62" i="1"/>
  <c r="B61" i="1"/>
  <c r="B60" i="1"/>
  <c r="B59" i="1"/>
  <c r="B58" i="1"/>
  <c r="B57" i="1"/>
  <c r="B56" i="1"/>
  <c r="B78" i="1"/>
  <c r="B79" i="1"/>
  <c r="B80" i="1"/>
  <c r="B81" i="1"/>
  <c r="B82" i="1"/>
  <c r="B83" i="1"/>
  <c r="B84" i="1"/>
  <c r="B85" i="1"/>
  <c r="B98" i="1"/>
  <c r="B99" i="1"/>
  <c r="B100" i="1"/>
  <c r="B101" i="1"/>
  <c r="B102" i="1"/>
  <c r="B103" i="1"/>
  <c r="B104" i="1"/>
  <c r="B105" i="1"/>
  <c r="B110" i="1"/>
  <c r="B111" i="1"/>
  <c r="B112" i="1"/>
  <c r="B113" i="1"/>
  <c r="B77" i="1"/>
  <c r="C13" i="1"/>
  <c r="D13" i="1"/>
  <c r="E13" i="1"/>
  <c r="F13" i="1"/>
  <c r="G13" i="1"/>
  <c r="H13" i="1"/>
  <c r="I13" i="1"/>
  <c r="J13" i="1"/>
  <c r="B13" i="1"/>
  <c r="H5" i="1" l="1"/>
  <c r="F5" i="1"/>
  <c r="G5" i="1"/>
</calcChain>
</file>

<file path=xl/sharedStrings.xml><?xml version="1.0" encoding="utf-8"?>
<sst xmlns="http://schemas.openxmlformats.org/spreadsheetml/2006/main" count="206" uniqueCount="176">
  <si>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</si>
  <si>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</si>
  <si>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</si>
  <si>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</si>
  <si>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</si>
  <si>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</si>
  <si>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</si>
  <si>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</si>
  <si>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</si>
  <si>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</si>
  <si>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</si>
  <si>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</si>
  <si>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Nhận diện và đánh giá rủi ro an ninh mạng: Nhận diện và triển khai các biện pháp bảo vệ thông tin trước các mối đe dọa và ứng phó kịp thời với sự cố an ninh.</t>
  </si>
  <si>
    <t>Quản lý và ứng phó sự cố an ninh mạng: Phòng ngừa, ứng phó và khắc phục, phục hồi</t>
  </si>
  <si>
    <t>Thiết lập tiêu chuẩn: Định nghĩa, phát triển và áp dụng các tiêu chuẩn an toàn thông tin phù hợp với quy định và thực tiễn tốt</t>
  </si>
  <si>
    <t>Giám sát tuân thủ an toàn ANTT: Theo dõi và đảm bảo các hoạt động bảo vệ tính nguyên vẹn, bảo mật và khả dụng của thông tin đúng quy định, phát hiện và xử lý vi phạm kịp thời</t>
  </si>
  <si>
    <t>Loại mã độc nào thường đính kèm trong email để đánh cắp thông tin?</t>
  </si>
  <si>
    <t>Trojan</t>
  </si>
  <si>
    <t>Firewall</t>
  </si>
  <si>
    <t>Proxy</t>
  </si>
  <si>
    <t>VLAN</t>
  </si>
  <si>
    <t>Rủi ro an ninh mạng là gì?</t>
  </si>
  <si>
    <t>Khả năng bị tấn công hoặc mất mát thông tin</t>
  </si>
  <si>
    <t>Khả năng thiết bị mạng bị hỏng hóc vật lý</t>
  </si>
  <si>
    <t>Sự cố mất điện tạm thời</t>
  </si>
  <si>
    <t>Tốc độ xử lý dữ liệu chậm</t>
  </si>
  <si>
    <t>Anh/Chị được yêu cầu đánh giá mức độ nghiêm trọng của một lỗ hổng bảo mật. Bước nào sau đây là phù hợp?</t>
  </si>
  <si>
    <t>Phân tích tác động và khả năng khai thác lỗ hổng</t>
  </si>
  <si>
    <t>Tạm thời bỏ qua và theo dõi tiếp</t>
  </si>
  <si>
    <t>Báo lỗi với phòng kỹ thuật phần cứng</t>
  </si>
  <si>
    <t>Xóa dịch vụ đang gặp lỗi</t>
  </si>
  <si>
    <t>Đâu là dấu hiệu của cuộc tấn công mạng tiềm ẩn?</t>
  </si>
  <si>
    <t>Lưu lượng bất thường hoặc truy cập trái phép vào hệ thống</t>
  </si>
  <si>
    <t>Sao lưu dữ liệu diễn ra đúng lịch</t>
  </si>
  <si>
    <t>Người dùng quên mật khẩu cá nhân</t>
  </si>
  <si>
    <t>Email không nhận được file đính kèm</t>
  </si>
  <si>
    <t>Khi phân tích log tường lửa, Anh/Chị phát hiện một IP cố gắng quét nhiều port trong thời gian ngắn. Nhận định hợp lý nhất là gì?</t>
  </si>
  <si>
    <t>Hành vi dò quét port – có thể là bước chuẩn bị tấn công</t>
  </si>
  <si>
    <t>Tín hiệu phần mềm đang cập nhật bình thường</t>
  </si>
  <si>
    <t>Hoạt động của dịch vụ quét virus nội bộ</t>
  </si>
  <si>
    <t>Lỗi ghi log do trùng thời gian</t>
  </si>
  <si>
    <t>Trong quá trình đánh giá hệ thống, Anh/Chị phát hiện một cổng dịch vụ mở không dùng đến và thường bị khai thác. Phương án xử lý hiệu quả là gì?</t>
  </si>
  <si>
    <t>Tắt cổng dịch vụ không cần thiết và đánh giá lại cấu hình bảo mật</t>
  </si>
  <si>
    <t>Chỉ thêm tường lửa và giữ nguyên cấu hình</t>
  </si>
  <si>
    <t>Chờ tới đợt kiểm tra an ninh định kỳ</t>
  </si>
  <si>
    <t>Chuyển toàn bộ dữ liệu sang hệ thống khác</t>
  </si>
  <si>
    <t>Anh/Chị đang xây dựng quy trình đánh giá rủi ro định kỳ cho hệ thống CNTT. Nội dung nào sau đây cần được đưa vào?</t>
  </si>
  <si>
    <t>Xác định tài sản cần bảo vệ, liệt kê mối đe dọa, phân tích khả năng và tác động, đề xuất giảm thiểu</t>
  </si>
  <si>
    <t>Sao lưu định kỳ, tăng cấu hình, cải thiện hiệu suất máy chủ</t>
  </si>
  <si>
    <t>Đổi mật khẩu người dùng và cập nhật phần mềm</t>
  </si>
  <si>
    <t>Dừng toàn bộ hệ thống 1 ngày để kiểm tra</t>
  </si>
  <si>
    <t>Anh/Chị được yêu cầu đưa ra đề xuất cải thiện khả năng phát hiện rủi ro sớm trong hệ thống. Phương án phù hợp nhất là gì?</t>
  </si>
  <si>
    <t>Tích hợp hệ thống giám sát, cảnh báo theo thời gian thực và phân tích hành vi</t>
  </si>
  <si>
    <t>Đào tạo người dùng thay đổi mật khẩu mỗi tháng</t>
  </si>
  <si>
    <t>Tăng số lượng tường lửa trong hệ thống mạng</t>
  </si>
  <si>
    <t>Chỉ định một người chịu trách nhiệm kiểm tra hàng ngày</t>
  </si>
  <si>
    <t>Một hành vi nào sau đây có thể gây ra sự cố an ninh mạng?</t>
  </si>
  <si>
    <t>Mở tệp đính kèm từ email không xác định</t>
  </si>
  <si>
    <t>Tắt máy khi hết giờ làm việc</t>
  </si>
  <si>
    <t>Cập nhật phần mềm theo lịch trình</t>
  </si>
  <si>
    <t>Sử dụng phần mềm diệt virus</t>
  </si>
  <si>
    <t>Mục tiêu chính của ứng phó sự cố an ninh mạng là gì?</t>
  </si>
  <si>
    <t>Giảm thiểu thiệt hại và khôi phục hệ thống</t>
  </si>
  <si>
    <t>Ngăn nhân viên sử dụng mạng xã hội</t>
  </si>
  <si>
    <t>Tăng tốc độ mạng LAN</t>
  </si>
  <si>
    <t>Thay thế toàn bộ phần cứng</t>
  </si>
  <si>
    <t>Khi phát hiện tệp độc hại trên máy người dùng, bước xử lý đầu tiên là gì?</t>
  </si>
  <si>
    <t>Cách ly máy tính khỏi mạng và thông báo bộ phận an ninh</t>
  </si>
  <si>
    <t>Xóa thư mục tạm thời của máy</t>
  </si>
  <si>
    <t>Khởi động lại và tiếp tục làm việc</t>
  </si>
  <si>
    <t>Cập nhật phần mềm trình duyệt</t>
  </si>
  <si>
    <t>Một lỗ hổng nghiêm trọng được phát hiện trên phần mềm quan trọng. Anh/Chị nên?</t>
  </si>
  <si>
    <t>Kích hoạt quy trình ứng phó sự cố và phối hợp bộ phận liên quan xử lý</t>
  </si>
  <si>
    <t>Đợi bản vá tự động rồi mới xử lý</t>
  </si>
  <si>
    <t>Gỡ phần mềm ngay lập tức</t>
  </si>
  <si>
    <t>Thông báo tất cả người dùng khởi động lại máy</t>
  </si>
  <si>
    <t>Khi xây dựng kế hoạch ứng phó sự cố, yếu tố nào sau đây cần thiết?</t>
  </si>
  <si>
    <t>Phân công vai trò rõ ràng, kịch bản xử lý, liên hệ khẩn cấp</t>
  </si>
  <si>
    <t>Tăng cấu hình firewall và theo dõi log hàng tuần</t>
  </si>
  <si>
    <t>Mã hóa toàn bộ hệ thống nội bộ</t>
  </si>
  <si>
    <t>Tự động reset mật khẩu người dùng hàng tháng</t>
  </si>
  <si>
    <t>Một cuộc tấn công từ chối dịch vụ (DDoS) đang diễn ra. Biện pháp xử lý nào sau đây là phù hợp?</t>
  </si>
  <si>
    <t>Hạn chế lưu lượng truy cập bằng lọc IP, phối hợp nhà mạng và phân tải hệ thống</t>
  </si>
  <si>
    <t>Gỡ bỏ toàn bộ dịch vụ công cộng</t>
  </si>
  <si>
    <t>Tắt tất cả kết nối Internet trong hệ thống</t>
  </si>
  <si>
    <t>Khởi động lại router định kỳ để làm sạch kết nối</t>
  </si>
  <si>
    <t>Công ty Anh/Chị chuẩn bị triển khai dịch vụ công ra Internet. Hiện chưa có hệ thống ứng phó tập trung, đội IT chưa có kinh nghiệm xử lý DDoS, và SLA yêu cầu khôi phục dịch vụ trong vòng 30 phút. Anh/Chị cần ưu tiên hành động gì?</t>
  </si>
  <si>
    <t>Xây dựng phương án phản ứng sự cố toàn công ty, diễn tập định kỳ và thiết lập kênh liên lạc khẩn cấp</t>
  </si>
  <si>
    <t>Tăng số lượng firewall và block IP tự động với danh sách cứng</t>
  </si>
  <si>
    <t>Phân quyền lại toàn bộ tài khoản người dùng và bật xác thực 2 lớp</t>
  </si>
  <si>
    <t>Lập danh sách các địa chỉ IP nội bộ và giới hạn quyền truy cập</t>
  </si>
  <si>
    <t>Hệ thống phát hiện dấu hiệu rò rỉ dữ liệu khách hàng từ một máy trạm nội bộ. Bộ phận IT nhận được cảnh báo từ hệ thống SIEM, người dùng liên quan đang làm việc từ xa, và lưu lượng truy cập tăng đột biến vào vùng dữ liệu nhạy cảm. Anh/Chị sẽ làm gì để xử lý hiệu quả?</t>
  </si>
  <si>
    <t>Kích hoạt quy trình ứng phó, cách ly máy nghi vấn, thu thập log và thông báo cho bộ phận pháp lý</t>
  </si>
  <si>
    <t>Gửi email cảnh báo đến toàn bộ người dùng về sự cố bảo mật</t>
  </si>
  <si>
    <t>Ngắt toàn bộ hệ thống mạng nội bộ để đảm bảo an toàn</t>
  </si>
  <si>
    <t>Gỡ toàn bộ quyền truy cập khỏi tất cả các tài khoản người dùng</t>
  </si>
  <si>
    <t>Tiêu chuẩn an toàn thông tin là gì?</t>
  </si>
  <si>
    <t>Bộ quy tắc hướng dẫn bảo vệ tài sản thông tin</t>
  </si>
  <si>
    <t>Mật khẩu truy cập hệ thống</t>
  </si>
  <si>
    <t>Tên người dùng có độ dài tối thiểu</t>
  </si>
  <si>
    <t>Cấu hình mạng nội bộ</t>
  </si>
  <si>
    <t>Tiêu chuẩn phổ biến nào được sử dụng để đánh giá hệ thống quản lý an toàn thông tin?</t>
  </si>
  <si>
    <t>ISO/IEC 27001</t>
  </si>
  <si>
    <t>HTTP/2</t>
  </si>
  <si>
    <t>IEEE 802.3</t>
  </si>
  <si>
    <t>ITIL v3</t>
  </si>
  <si>
    <t>Đâu là nội dung thường có trong chính sách an toàn thông tin?</t>
  </si>
  <si>
    <t>Quy định về mật khẩu, truy cập, và xử lý dữ liệu nhạy cảm</t>
  </si>
  <si>
    <t>Thời gian làm việc và lịch họp định kỳ</t>
  </si>
  <si>
    <t>Hướng dẫn sử dụng máy in</t>
  </si>
  <si>
    <t>Kế hoạch phát triển phần mềm</t>
  </si>
  <si>
    <t>Khi xây dựng tiêu chuẩn bảo mật nội bộ, Anh/Chị cần tham khảo gì?</t>
  </si>
  <si>
    <t>Các tiêu chuẩn quốc tế, luật pháp và môi trường vận hành thực tế</t>
  </si>
  <si>
    <t>Ý kiến cá nhân người dùng</t>
  </si>
  <si>
    <t>Quy trình tuyển dụng nhân sự</t>
  </si>
  <si>
    <t>Chiến lược marketing công ty</t>
  </si>
  <si>
    <t>Anh/Chị được yêu cầu đề xuất bộ tiêu chuẩn bảo vệ hệ thống dữ liệu khách hàng. Anh/Chị sẽ bắt đầu từ đâu?</t>
  </si>
  <si>
    <t>Xác định loại dữ liệu, mức độ nhạy cảm và lựa chọn khung tiêu chuẩn phù hợp</t>
  </si>
  <si>
    <t>Tham khảo tài liệu kỹ thuật từ phòng kỹ sư mạng</t>
  </si>
  <si>
    <t>Làm khảo sát thói quen người dùng nội bộ</t>
  </si>
  <si>
    <t>Thiết lập giới hạn tốc độ truy cập dữ liệu</t>
  </si>
  <si>
    <t>Hệ thống của Anh/Chị cần tuân thủ tiêu chuẩn ISO/IEC 27001. Đâu là thành phần quan trọng trong việc triển khai tiêu chuẩn này?</t>
  </si>
  <si>
    <t>Thiết lập chính sách, kiểm soát truy cập và quy trình xử lý sự cố</t>
  </si>
  <si>
    <t>Cài đặt tường lửa lớp ứng dụng</t>
  </si>
  <si>
    <t>Tăng băng thông internet và máy chủ dự phòng</t>
  </si>
  <si>
    <t>Thiết lập kênh mạng riêng giữa các phòng ban</t>
  </si>
  <si>
    <t>Công ty Anh/Chị đang mở rộng hoạt động ra thị trường quốc tế, nơi có quy định pháp lý về bảo mật dữ liệu nghiêm ngặt (như GDPR). Hiện tại hệ thống chưa có phân vùng dữ liệu rõ ràng và nhân sự chưa được đào tạo về xử lý dữ liệu cá nhân. Anh/Chị được giao xây dựng khung tiêu chuẩn phù hợp. Phương án nào hiệu quả nhất?</t>
  </si>
  <si>
    <t>Áp dụng tiêu chuẩn quốc tế như ISO/IEC 27701, phân loại dữ liệu, đào tạo nhân sự và rà soát quy trình xử lý</t>
  </si>
  <si>
    <t>Giới hạn quyền truy cập của tất cả nhân viên ngoài châu Âu</t>
  </si>
  <si>
    <t>Xây dựng trung tâm dữ liệu mới để đáp ứng GDPR</t>
  </si>
  <si>
    <t>Gửi email hướng dẫn người dùng tự kiểm tra dữ liệu cá nhân</t>
  </si>
  <si>
    <t>Một tổ chức đang chuẩn bị chứng nhận ISO/IEC 27001. Qua rà soát cho thấy có hiện tượng nhân viên sử dụng thiết bị cá nhân truy cập dữ liệu công ty. Tuy nhiên, hệ thống hiện không có chính sách BYOD. Phương án thiết lập tiêu chuẩn phù hợp là gì?</t>
  </si>
  <si>
    <t>Xây dựng chính sách BYOD rõ ràng, áp dụng kiểm soát truy cập và mã hóa dữ liệu trên thiết bị cá nhân</t>
  </si>
  <si>
    <t>Ngăn chặn toàn bộ truy cập từ các thiết bị không thuộc công ty</t>
  </si>
  <si>
    <t>Buộc toàn bộ nhân viên sử dụng máy tính tại văn phòng</t>
  </si>
  <si>
    <t>Tăng giới hạn bảo mật trên Wi-Fi nội bộ</t>
  </si>
  <si>
    <t>Đơn vị nào thường chịu trách nhiệm giám sát việc tuân thủ an toàn thông tin?</t>
  </si>
  <si>
    <t>Bộ phận an toàn thông tin hoặc kiểm toán nội bộ</t>
  </si>
  <si>
    <t>Phòng marketing</t>
  </si>
  <si>
    <t>Đội phát triển phần mềm</t>
  </si>
  <si>
    <t>Phòng lễ tân</t>
  </si>
  <si>
    <t>Tuân thủ an toàn thông tin là gì?</t>
  </si>
  <si>
    <t>Việc đảm bảo các quy định, chính sách bảo mật được thực thi</t>
  </si>
  <si>
    <t>Cập nhật hệ điều hành thường xuyên</t>
  </si>
  <si>
    <t>Sử dụng phần mềm mã nguồn mở</t>
  </si>
  <si>
    <t>Anh/Chị cần đánh giá mức độ tuân thủ an toàn thông tin trong công ty. Việc nào sau đây là phù hợp?</t>
  </si>
  <si>
    <t>Rà soát hệ thống, kiểm tra log, và đối chiếu với chính sách nội bộ</t>
  </si>
  <si>
    <t>Tăng cấu hình hệ thống mạng</t>
  </si>
  <si>
    <t>Lắp thêm camera an ninh vật lý</t>
  </si>
  <si>
    <t>Tắt firewall để kiểm tra hiệu suất</t>
  </si>
  <si>
    <t>Tại sao việc ghi nhận và lưu trữ log hệ thống là cần thiết?</t>
  </si>
  <si>
    <t>Giúp theo dõi, kiểm tra và điều tra khi có vi phạm chính sách</t>
  </si>
  <si>
    <t>Để tăng tốc độ xử lý máy chủ</t>
  </si>
  <si>
    <t>Hỗ trợ người dùng truy cập nhanh hơn</t>
  </si>
  <si>
    <t>Giảm dung lượng lưu trữ của hệ thống</t>
  </si>
  <si>
    <t>Anh/Chị được giao kiểm tra tuân thủ định kỳ hệ thống mạng nội bộ. Yếu tố nào sau đây cần được ưu tiên?</t>
  </si>
  <si>
    <t>Kiểm tra quyền truy cập, cấu hình hệ thống và đối chiếu với chính sách bảo mật</t>
  </si>
  <si>
    <t>Tăng cường tường lửa và cập nhật phần mềm</t>
  </si>
  <si>
    <t>Nâng cấp toàn bộ máy trạm văn phòng</t>
  </si>
  <si>
    <t>Tạm ngắt mạng để kiểm tra thiết bị định kỳ</t>
  </si>
  <si>
    <t>Trong quá trình kiểm tra tuân thủ, Anh/Chị phát hiện có một bộ phận lưu trữ dữ liệu nhạy cảm trên ổ USB cá nhân. Anh/Chị nên làm gì?</t>
  </si>
  <si>
    <t>Lập biên bản vi phạm, báo cáo và yêu cầu xử lý theo quy định chính sách bảo mật</t>
  </si>
  <si>
    <t>Xóa dữ liệu trên thiết bị USB và thu hồi ngay lập tức</t>
  </si>
  <si>
    <t>Cắt quyền truy cập internet của cả bộ phận</t>
  </si>
  <si>
    <t>Bỏ qua vì chưa gây ra thiệt hại thực tế</t>
  </si>
  <si>
    <t>Công ty Anh/Chị đang chuẩn bị kiểm toán tuân thủ ISO/IEC 27001. Hiện tại: (1) chính sách chưa được cập nhật 12 tháng qua, (2) hệ thống log chưa được phân quyền truy cập rõ ràng, (3) chưa có báo cáo kiểm tra định kỳ. Đâu là hành động khắc phục ưu tiên?</t>
  </si>
  <si>
    <t>Cập nhật chính sách, thiết lập phân quyền log, lập kế hoạch kiểm tra định kỳ và ghi nhận kết quả</t>
  </si>
  <si>
    <t>Nâng cấp phần mềm giám sát log</t>
  </si>
  <si>
    <t>Đào tạo nhân viên viết báo cáo đánh giá</t>
  </si>
  <si>
    <t>Tắt quyền truy cập của toàn bộ người dùng vào hệ thống log</t>
  </si>
  <si>
    <t>Một đơn vị bị phát hiện có hành vi truy cập dữ liệu vượt quyền. Anh/Chị kiểm tra và phát hiện: (1) hệ thống không ghi nhận log đầy đủ, (2) quy trình xét duyệt phân quyền chưa được thực hiện, (3) chưa có quy định chế tài rõ ràng. Anh/Chị nên đề xuất gì?</t>
  </si>
  <si>
    <t>Hoàn thiện quy trình phân quyền, áp dụng kiểm soát log và ban hành quy định xử lý vi phạm</t>
  </si>
  <si>
    <t>Khóa toàn bộ tài khoản đang sử dụng</t>
  </si>
  <si>
    <t>Cấm truy cập ngoài giờ hành chính</t>
  </si>
  <si>
    <t>Tăng thời gian lưu log từ 30 ngày lên 1 năm</t>
  </si>
  <si>
    <t>P19 - An toàn và an ninh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</si>
</sst>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5">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1">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113"/>
  <sheetViews>
    <sheetView showGridLines="0" tabSelected="1" zoomScale="70" zoomScaleNormal="70" workbookViewId="0">
      <selection activeCell="B2" sqref="B2"/>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7109375" style="13" customWidth="1"/>
    <col min="13" max="16384" width="9" style="13"/>
  </cols>
  <sheetData>
    <row r="2" spans="2:10" ht="26.45" customHeight="1" x14ac:dyDescent="0.25">
      <c r="B2" s="14" t="s">
        <v>175</v>
      </c>
    </row>
    <row r="3" spans="2:10" ht="10.35" customHeight="1" x14ac:dyDescent="0.25">
      <c r="B3" s="14"/>
    </row>
    <row r="4" spans="2:10" ht="31.7" customHeight="1" outlineLevel="1" x14ac:dyDescent="0.25">
      <c r="B4" s="14"/>
      <c r="D4" s="18" t="s">
        <v>10</v>
      </c>
      <c r="E4" s="19" t="s">
        <v>11</v>
      </c>
      <c r="F4" s="20">
        <v>1</v>
      </c>
      <c r="G4" s="20">
        <v>2</v>
      </c>
      <c r="H4" s="20">
        <v>3</v>
      </c>
      <c r="I4" s="20">
        <v>4</v>
      </c>
    </row>
    <row r="5" spans="2:10" ht="20.100000000000001" customHeight="1" outlineLevel="1" x14ac:dyDescent="0.25">
      <c r="B5" s="14"/>
      <c r="D5" s="19" t="s">
        <v>11</v>
      </c>
      <c r="E5" s="16">
        <f>SUM(E6:E9)</f>
        <v>32</v>
      </c>
      <c r="F5" s="17">
        <f>SUM(F6:F9)</f>
        <v>8</v>
      </c>
      <c r="G5" s="17">
        <f t="shared" ref="G5:H5" si="0">SUM(G6:G9)</f>
        <v>8</v>
      </c>
      <c r="H5" s="17">
        <f t="shared" si="0"/>
        <v>8</v>
      </c>
      <c r="I5" s="17">
        <f t="shared" ref="I5" si="1">SUM(I6:I9)</f>
        <v>8</v>
      </c>
    </row>
    <row r="6" spans="2:10" ht="20.100000000000001" customHeight="1" outlineLevel="1" x14ac:dyDescent="0.25">
      <c r="B6" s="14"/>
      <c r="D6" s="20">
        <v>1</v>
      </c>
      <c r="E6" s="17">
        <f>SUM(F6:I6)</f>
        <v>8</v>
      </c>
      <c r="F6" s="21">
        <f>COUNTIFS($E$13:$E$200,$D6,$C$13:$C$200,F$4)</f>
        <v>2</v>
      </c>
      <c r="G6" s="21">
        <f t="shared" ref="G6:I9" si="2">COUNTIFS($E$13:$E$200,$D6,$C$13:$C$200,G$4)</f>
        <v>2</v>
      </c>
      <c r="H6" s="21">
        <f t="shared" si="2"/>
        <v>2</v>
      </c>
      <c r="I6" s="21">
        <f t="shared" si="2"/>
        <v>2</v>
      </c>
    </row>
    <row r="7" spans="2:10" ht="20.100000000000001" customHeight="1" outlineLevel="1" x14ac:dyDescent="0.25">
      <c r="B7" s="14"/>
      <c r="D7" s="20">
        <v>2</v>
      </c>
      <c r="E7" s="17">
        <f t="shared" ref="E7:E9" si="3">SUM(F7:I7)</f>
        <v>8</v>
      </c>
      <c r="F7" s="21">
        <f t="shared" ref="F7:F9" si="4">COUNTIFS($E$13:$E$200,$D7,$C$13:$C$200,F$4)</f>
        <v>2</v>
      </c>
      <c r="G7" s="21">
        <f t="shared" si="2"/>
        <v>2</v>
      </c>
      <c r="H7" s="21">
        <f t="shared" si="2"/>
        <v>2</v>
      </c>
      <c r="I7" s="21">
        <f t="shared" si="2"/>
        <v>2</v>
      </c>
    </row>
    <row r="8" spans="2:10" ht="20.100000000000001" customHeight="1" outlineLevel="1" x14ac:dyDescent="0.25">
      <c r="B8" s="14"/>
      <c r="D8" s="20">
        <v>3</v>
      </c>
      <c r="E8" s="17">
        <f t="shared" si="3"/>
        <v>8</v>
      </c>
      <c r="F8" s="21">
        <f t="shared" si="4"/>
        <v>2</v>
      </c>
      <c r="G8" s="21">
        <f t="shared" si="2"/>
        <v>2</v>
      </c>
      <c r="H8" s="21">
        <f t="shared" si="2"/>
        <v>2</v>
      </c>
      <c r="I8" s="21">
        <f t="shared" si="2"/>
        <v>2</v>
      </c>
    </row>
    <row r="9" spans="2:10" ht="20.100000000000001" customHeight="1" outlineLevel="1" x14ac:dyDescent="0.25">
      <c r="B9" s="14"/>
      <c r="D9" s="20">
        <v>4</v>
      </c>
      <c r="E9" s="17">
        <f t="shared" si="3"/>
        <v>8</v>
      </c>
      <c r="F9" s="21">
        <f t="shared" si="4"/>
        <v>2</v>
      </c>
      <c r="G9" s="21">
        <f t="shared" si="2"/>
        <v>2</v>
      </c>
      <c r="H9" s="21">
        <f t="shared" si="2"/>
        <v>2</v>
      </c>
      <c r="I9" s="21">
        <f t="shared" si="2"/>
        <v>2</v>
      </c>
    </row>
    <row r="10" spans="2:10" ht="6.75" customHeight="1" x14ac:dyDescent="0.25"/>
    <row r="11" spans="2:10" ht="19.350000000000001" customHeight="1" x14ac:dyDescent="0.25">
      <c r="B11" s="24" t="s">
        <v>0</v>
      </c>
      <c r="C11" s="24" t="s">
        <v>1</v>
      </c>
      <c r="D11" s="24" t="s">
        <v>2</v>
      </c>
      <c r="E11" s="24" t="s">
        <v>3</v>
      </c>
      <c r="F11" s="22" t="s">
        <v>8</v>
      </c>
      <c r="G11" s="23" t="s">
        <v>9</v>
      </c>
      <c r="H11" s="23"/>
      <c r="I11" s="23"/>
      <c r="J11" s="23"/>
    </row>
    <row r="12" spans="2:10" ht="19.350000000000001" customHeight="1" x14ac:dyDescent="0.25">
      <c r="B12" s="24"/>
      <c r="C12" s="24"/>
      <c r="D12" s="24"/>
      <c r="E12" s="24"/>
      <c r="F12" s="22"/>
      <c r="G12" s="6" t="s">
        <v>4</v>
      </c>
      <c r="H12" s="6" t="s">
        <v>5</v>
      </c>
      <c r="I12" s="6" t="s">
        <v>6</v>
      </c>
      <c r="J12" s="6" t="s">
        <v>7</v>
      </c>
    </row>
    <row r="13" spans="2:10" s="15" customFormat="1" ht="12" x14ac:dyDescent="0.25">
      <c r="B13" s="4" t="str">
        <f t="shared" ref="B13:J13" si="5">"("&amp;COLUMN()-COLUMN($A$13)&amp;")"</f>
        <v>(1)</v>
      </c>
      <c r="C13" s="4" t="str">
        <f t="shared" si="5"/>
        <v>(2)</v>
      </c>
      <c r="D13" s="4" t="str">
        <f t="shared" si="5"/>
        <v>(3)</v>
      </c>
      <c r="E13" s="4" t="str">
        <f t="shared" si="5"/>
        <v>(4)</v>
      </c>
      <c r="F13" s="4" t="str">
        <f t="shared" si="5"/>
        <v>(5)</v>
      </c>
      <c r="G13" s="4" t="str">
        <f t="shared" si="5"/>
        <v>(6)</v>
      </c>
      <c r="H13" s="4" t="str">
        <f t="shared" si="5"/>
        <v>(7)</v>
      </c>
      <c r="I13" s="4" t="str">
        <f t="shared" si="5"/>
        <v>(8)</v>
      </c>
      <c r="J13" s="4" t="str">
        <f t="shared" si="5"/>
        <v>(9)</v>
      </c>
    </row>
    <row r="14" spans="2:10" ht="89.25" x14ac:dyDescent="0.25">
      <c r="B14" s="1">
        <f>ROW()-ROW($B$13)</f>
        <v>1</v>
      </c>
      <c r="C14" s="2">
        <v>1</v>
      </c>
      <c r="D14" s="3" t="s">
        <v>12</v>
      </c>
      <c r="E14" s="2">
        <v>1</v>
      </c>
      <c r="F14" s="5" t="s">
        <v>16</v>
      </c>
      <c r="G14" s="9" t="s">
        <v>17</v>
      </c>
      <c r="H14" s="7" t="s">
        <v>18</v>
      </c>
      <c r="I14" s="7" t="s">
        <v>19</v>
      </c>
      <c r="J14" s="7" t="s">
        <v>20</v>
      </c>
    </row>
    <row r="15" spans="2:10" ht="89.25" x14ac:dyDescent="0.25">
      <c r="B15" s="1">
        <f t="shared" ref="B15:B34" si="6">ROW()-ROW($B$13)</f>
        <v>2</v>
      </c>
      <c r="C15" s="2">
        <v>1</v>
      </c>
      <c r="D15" s="3" t="s">
        <v>12</v>
      </c>
      <c r="E15" s="2">
        <v>1</v>
      </c>
      <c r="F15" s="5" t="s">
        <v>21</v>
      </c>
      <c r="G15" s="10" t="s">
        <v>22</v>
      </c>
      <c r="H15" s="3" t="s">
        <v>23</v>
      </c>
      <c r="I15" s="3" t="s">
        <v>24</v>
      </c>
      <c r="J15" s="3" t="s">
        <v>25</v>
      </c>
    </row>
    <row r="16" spans="2:10" ht="89.25" x14ac:dyDescent="0.25">
      <c r="B16" s="1">
        <f t="shared" si="6"/>
        <v>3</v>
      </c>
      <c r="C16" s="2">
        <v>1</v>
      </c>
      <c r="D16" s="3" t="s">
        <v>12</v>
      </c>
      <c r="E16" s="2">
        <v>2</v>
      </c>
      <c r="F16" s="5" t="s">
        <v>26</v>
      </c>
      <c r="G16" s="10" t="s">
        <v>27</v>
      </c>
      <c r="H16" s="3" t="s">
        <v>28</v>
      </c>
      <c r="I16" s="3" t="s">
        <v>29</v>
      </c>
      <c r="J16" s="3" t="s">
        <v>30</v>
      </c>
    </row>
    <row r="17" spans="2:10" ht="89.25" x14ac:dyDescent="0.25">
      <c r="B17" s="1">
        <f t="shared" si="6"/>
        <v>4</v>
      </c>
      <c r="C17" s="2">
        <v>1</v>
      </c>
      <c r="D17" s="3" t="s">
        <v>12</v>
      </c>
      <c r="E17" s="2">
        <v>2</v>
      </c>
      <c r="F17" s="5" t="s">
        <v>31</v>
      </c>
      <c r="G17" s="10" t="s">
        <v>32</v>
      </c>
      <c r="H17" s="3" t="s">
        <v>33</v>
      </c>
      <c r="I17" s="3" t="s">
        <v>34</v>
      </c>
      <c r="J17" s="3" t="s">
        <v>35</v>
      </c>
    </row>
    <row r="18" spans="2:10" ht="89.25" x14ac:dyDescent="0.25">
      <c r="B18" s="1">
        <f t="shared" si="6"/>
        <v>5</v>
      </c>
      <c r="C18" s="2">
        <v>1</v>
      </c>
      <c r="D18" s="3" t="s">
        <v>12</v>
      </c>
      <c r="E18" s="2">
        <v>3</v>
      </c>
      <c r="F18" s="5" t="s">
        <v>36</v>
      </c>
      <c r="G18" s="10" t="s">
        <v>37</v>
      </c>
      <c r="H18" s="3" t="s">
        <v>38</v>
      </c>
      <c r="I18" s="3" t="s">
        <v>39</v>
      </c>
      <c r="J18" s="3" t="s">
        <v>40</v>
      </c>
    </row>
    <row r="19" spans="2:10" ht="89.25" x14ac:dyDescent="0.25">
      <c r="B19" s="1">
        <f t="shared" si="6"/>
        <v>6</v>
      </c>
      <c r="C19" s="2">
        <v>1</v>
      </c>
      <c r="D19" s="3" t="s">
        <v>12</v>
      </c>
      <c r="E19" s="2">
        <v>3</v>
      </c>
      <c r="F19" s="5" t="s">
        <v>41</v>
      </c>
      <c r="G19" s="10" t="s">
        <v>42</v>
      </c>
      <c r="H19" s="3" t="s">
        <v>43</v>
      </c>
      <c r="I19" s="3" t="s">
        <v>44</v>
      </c>
      <c r="J19" s="3" t="s">
        <v>45</v>
      </c>
    </row>
    <row r="20" spans="2:10" ht="89.25" x14ac:dyDescent="0.25">
      <c r="B20" s="1">
        <f t="shared" si="6"/>
        <v>7</v>
      </c>
      <c r="C20" s="2">
        <v>1</v>
      </c>
      <c r="D20" s="3" t="s">
        <v>12</v>
      </c>
      <c r="E20" s="2">
        <v>4</v>
      </c>
      <c r="F20" s="5" t="s">
        <v>46</v>
      </c>
      <c r="G20" s="10" t="s">
        <v>47</v>
      </c>
      <c r="H20" s="3" t="s">
        <v>48</v>
      </c>
      <c r="I20" s="3" t="s">
        <v>49</v>
      </c>
      <c r="J20" s="3" t="s">
        <v>50</v>
      </c>
    </row>
    <row r="21" spans="2:10" ht="89.25" x14ac:dyDescent="0.25">
      <c r="B21" s="1">
        <f t="shared" si="6"/>
        <v>8</v>
      </c>
      <c r="C21" s="2">
        <v>1</v>
      </c>
      <c r="D21" s="3" t="s">
        <v>12</v>
      </c>
      <c r="E21" s="2">
        <v>4</v>
      </c>
      <c r="F21" s="5" t="s">
        <v>51</v>
      </c>
      <c r="G21" s="10" t="s">
        <v>52</v>
      </c>
      <c r="H21" s="3" t="s">
        <v>53</v>
      </c>
      <c r="I21" s="3" t="s">
        <v>54</v>
      </c>
      <c r="J21" s="3" t="s">
        <v>55</v>
      </c>
    </row>
    <row r="22" spans="2:10" ht="51" x14ac:dyDescent="0.25">
      <c r="B22" s="1">
        <f t="shared" si="6"/>
        <v>9</v>
      </c>
      <c r="C22" s="2">
        <v>2</v>
      </c>
      <c r="D22" s="3" t="s">
        <v>13</v>
      </c>
      <c r="E22" s="2">
        <v>1</v>
      </c>
      <c r="F22" s="5" t="s">
        <v>56</v>
      </c>
      <c r="G22" s="11" t="s">
        <v>57</v>
      </c>
      <c r="H22" s="8" t="s">
        <v>58</v>
      </c>
      <c r="I22" s="8" t="s">
        <v>59</v>
      </c>
      <c r="J22" s="8" t="s">
        <v>60</v>
      </c>
    </row>
    <row r="23" spans="2:10" ht="51" x14ac:dyDescent="0.25">
      <c r="B23" s="1">
        <f t="shared" si="6"/>
        <v>10</v>
      </c>
      <c r="C23" s="2">
        <v>2</v>
      </c>
      <c r="D23" s="3" t="s">
        <v>13</v>
      </c>
      <c r="E23" s="2">
        <v>1</v>
      </c>
      <c r="F23" s="5" t="s">
        <v>61</v>
      </c>
      <c r="G23" s="11" t="s">
        <v>62</v>
      </c>
      <c r="H23" s="8" t="s">
        <v>63</v>
      </c>
      <c r="I23" s="8" t="s">
        <v>64</v>
      </c>
      <c r="J23" s="8" t="s">
        <v>65</v>
      </c>
    </row>
    <row r="24" spans="2:10" ht="51" x14ac:dyDescent="0.25">
      <c r="B24" s="1">
        <f t="shared" si="6"/>
        <v>11</v>
      </c>
      <c r="C24" s="2">
        <v>2</v>
      </c>
      <c r="D24" s="3" t="s">
        <v>13</v>
      </c>
      <c r="E24" s="2">
        <v>2</v>
      </c>
      <c r="F24" s="5" t="s">
        <v>66</v>
      </c>
      <c r="G24" s="11" t="s">
        <v>67</v>
      </c>
      <c r="H24" s="8" t="s">
        <v>68</v>
      </c>
      <c r="I24" s="8" t="s">
        <v>69</v>
      </c>
      <c r="J24" s="8" t="s">
        <v>70</v>
      </c>
    </row>
    <row r="25" spans="2:10" ht="51" x14ac:dyDescent="0.25">
      <c r="B25" s="1">
        <f t="shared" si="6"/>
        <v>12</v>
      </c>
      <c r="C25" s="2">
        <v>2</v>
      </c>
      <c r="D25" s="3" t="s">
        <v>13</v>
      </c>
      <c r="E25" s="2">
        <v>2</v>
      </c>
      <c r="F25" s="5" t="s">
        <v>71</v>
      </c>
      <c r="G25" s="11" t="s">
        <v>72</v>
      </c>
      <c r="H25" s="8" t="s">
        <v>73</v>
      </c>
      <c r="I25" s="8" t="s">
        <v>74</v>
      </c>
      <c r="J25" s="8" t="s">
        <v>75</v>
      </c>
    </row>
    <row r="26" spans="2:10" ht="51" x14ac:dyDescent="0.25">
      <c r="B26" s="1">
        <f t="shared" si="6"/>
        <v>13</v>
      </c>
      <c r="C26" s="2">
        <v>2</v>
      </c>
      <c r="D26" s="3" t="s">
        <v>13</v>
      </c>
      <c r="E26" s="2">
        <v>3</v>
      </c>
      <c r="F26" s="5" t="s">
        <v>76</v>
      </c>
      <c r="G26" s="10" t="s">
        <v>77</v>
      </c>
      <c r="H26" s="3" t="s">
        <v>78</v>
      </c>
      <c r="I26" s="3" t="s">
        <v>79</v>
      </c>
      <c r="J26" s="3" t="s">
        <v>80</v>
      </c>
    </row>
    <row r="27" spans="2:10" ht="51" x14ac:dyDescent="0.25">
      <c r="B27" s="1">
        <f t="shared" si="6"/>
        <v>14</v>
      </c>
      <c r="C27" s="2">
        <v>2</v>
      </c>
      <c r="D27" s="3" t="s">
        <v>13</v>
      </c>
      <c r="E27" s="2">
        <v>3</v>
      </c>
      <c r="F27" s="5" t="s">
        <v>81</v>
      </c>
      <c r="G27" s="10" t="s">
        <v>82</v>
      </c>
      <c r="H27" s="3" t="s">
        <v>83</v>
      </c>
      <c r="I27" s="3" t="s">
        <v>84</v>
      </c>
      <c r="J27" s="3" t="s">
        <v>85</v>
      </c>
    </row>
    <row r="28" spans="2:10" ht="63.75" x14ac:dyDescent="0.25">
      <c r="B28" s="1">
        <f t="shared" si="6"/>
        <v>15</v>
      </c>
      <c r="C28" s="2">
        <v>2</v>
      </c>
      <c r="D28" s="3" t="s">
        <v>13</v>
      </c>
      <c r="E28" s="2">
        <v>4</v>
      </c>
      <c r="F28" s="5" t="s">
        <v>86</v>
      </c>
      <c r="G28" s="10" t="s">
        <v>87</v>
      </c>
      <c r="H28" s="3" t="s">
        <v>88</v>
      </c>
      <c r="I28" s="3" t="s">
        <v>89</v>
      </c>
      <c r="J28" s="3" t="s">
        <v>90</v>
      </c>
    </row>
    <row r="29" spans="2:10" ht="76.5" x14ac:dyDescent="0.25">
      <c r="B29" s="1">
        <f t="shared" si="6"/>
        <v>16</v>
      </c>
      <c r="C29" s="2">
        <v>2</v>
      </c>
      <c r="D29" s="3" t="s">
        <v>13</v>
      </c>
      <c r="E29" s="2">
        <v>4</v>
      </c>
      <c r="F29" s="5" t="s">
        <v>91</v>
      </c>
      <c r="G29" s="10" t="s">
        <v>92</v>
      </c>
      <c r="H29" s="3" t="s">
        <v>93</v>
      </c>
      <c r="I29" s="3" t="s">
        <v>94</v>
      </c>
      <c r="J29" s="3" t="s">
        <v>95</v>
      </c>
    </row>
    <row r="30" spans="2:10" ht="63.75" x14ac:dyDescent="0.25">
      <c r="B30" s="1">
        <f t="shared" si="6"/>
        <v>17</v>
      </c>
      <c r="C30" s="2">
        <v>3</v>
      </c>
      <c r="D30" s="3" t="s">
        <v>14</v>
      </c>
      <c r="E30" s="2">
        <v>1</v>
      </c>
      <c r="F30" s="5" t="s">
        <v>96</v>
      </c>
      <c r="G30" s="10" t="s">
        <v>97</v>
      </c>
      <c r="H30" s="3" t="s">
        <v>98</v>
      </c>
      <c r="I30" s="3" t="s">
        <v>99</v>
      </c>
      <c r="J30" s="3" t="s">
        <v>100</v>
      </c>
    </row>
    <row r="31" spans="2:10" ht="63.75" x14ac:dyDescent="0.25">
      <c r="B31" s="1">
        <f t="shared" si="6"/>
        <v>18</v>
      </c>
      <c r="C31" s="2">
        <v>3</v>
      </c>
      <c r="D31" s="3" t="s">
        <v>14</v>
      </c>
      <c r="E31" s="2">
        <v>1</v>
      </c>
      <c r="F31" s="5" t="s">
        <v>101</v>
      </c>
      <c r="G31" s="10" t="s">
        <v>102</v>
      </c>
      <c r="H31" s="3" t="s">
        <v>103</v>
      </c>
      <c r="I31" s="3" t="s">
        <v>104</v>
      </c>
      <c r="J31" s="3" t="s">
        <v>105</v>
      </c>
    </row>
    <row r="32" spans="2:10" ht="63.75" x14ac:dyDescent="0.25">
      <c r="B32" s="1">
        <f t="shared" si="6"/>
        <v>19</v>
      </c>
      <c r="C32" s="2">
        <v>3</v>
      </c>
      <c r="D32" s="3" t="s">
        <v>14</v>
      </c>
      <c r="E32" s="2">
        <v>2</v>
      </c>
      <c r="F32" s="5" t="s">
        <v>106</v>
      </c>
      <c r="G32" s="9" t="s">
        <v>107</v>
      </c>
      <c r="H32" s="7" t="s">
        <v>108</v>
      </c>
      <c r="I32" s="7" t="s">
        <v>109</v>
      </c>
      <c r="J32" s="7" t="s">
        <v>110</v>
      </c>
    </row>
    <row r="33" spans="2:10" ht="63.75" x14ac:dyDescent="0.25">
      <c r="B33" s="1">
        <f t="shared" si="6"/>
        <v>20</v>
      </c>
      <c r="C33" s="2">
        <v>3</v>
      </c>
      <c r="D33" s="3" t="s">
        <v>14</v>
      </c>
      <c r="E33" s="2">
        <v>2</v>
      </c>
      <c r="F33" s="5" t="s">
        <v>111</v>
      </c>
      <c r="G33" s="10" t="s">
        <v>112</v>
      </c>
      <c r="H33" s="3" t="s">
        <v>113</v>
      </c>
      <c r="I33" s="3" t="s">
        <v>114</v>
      </c>
      <c r="J33" s="3" t="s">
        <v>115</v>
      </c>
    </row>
    <row r="34" spans="2:10" ht="63.75" x14ac:dyDescent="0.25">
      <c r="B34" s="1">
        <f t="shared" si="6"/>
        <v>21</v>
      </c>
      <c r="C34" s="2">
        <v>3</v>
      </c>
      <c r="D34" s="3" t="s">
        <v>14</v>
      </c>
      <c r="E34" s="2">
        <v>3</v>
      </c>
      <c r="F34" s="5" t="s">
        <v>116</v>
      </c>
      <c r="G34" s="10" t="s">
        <v>117</v>
      </c>
      <c r="H34" s="3" t="s">
        <v>118</v>
      </c>
      <c r="I34" s="3" t="s">
        <v>119</v>
      </c>
      <c r="J34" s="3" t="s">
        <v>120</v>
      </c>
    </row>
    <row r="35" spans="2:10" ht="63.75" x14ac:dyDescent="0.25">
      <c r="B35" s="1">
        <f>ROW()-ROW($B$13)</f>
        <v>22</v>
      </c>
      <c r="C35" s="2">
        <v>3</v>
      </c>
      <c r="D35" s="3" t="s">
        <v>14</v>
      </c>
      <c r="E35" s="2">
        <v>3</v>
      </c>
      <c r="F35" s="5" t="s">
        <v>121</v>
      </c>
      <c r="G35" s="9" t="s">
        <v>122</v>
      </c>
      <c r="H35" s="7" t="s">
        <v>123</v>
      </c>
      <c r="I35" s="7" t="s">
        <v>124</v>
      </c>
      <c r="J35" s="7" t="s">
        <v>125</v>
      </c>
    </row>
    <row r="36" spans="2:10" ht="89.25" x14ac:dyDescent="0.25">
      <c r="B36" s="1">
        <f t="shared" ref="B36:B55" si="7">ROW()-ROW($B$13)</f>
        <v>23</v>
      </c>
      <c r="C36" s="2">
        <v>3</v>
      </c>
      <c r="D36" s="3" t="s">
        <v>14</v>
      </c>
      <c r="E36" s="2">
        <v>4</v>
      </c>
      <c r="F36" s="5" t="s">
        <v>126</v>
      </c>
      <c r="G36" s="10" t="s">
        <v>127</v>
      </c>
      <c r="H36" s="3" t="s">
        <v>128</v>
      </c>
      <c r="I36" s="3" t="s">
        <v>129</v>
      </c>
      <c r="J36" s="3" t="s">
        <v>130</v>
      </c>
    </row>
    <row r="37" spans="2:10" ht="76.5" x14ac:dyDescent="0.25">
      <c r="B37" s="1">
        <f t="shared" si="7"/>
        <v>24</v>
      </c>
      <c r="C37" s="2">
        <v>3</v>
      </c>
      <c r="D37" s="3" t="s">
        <v>14</v>
      </c>
      <c r="E37" s="2">
        <v>4</v>
      </c>
      <c r="F37" s="5" t="s">
        <v>131</v>
      </c>
      <c r="G37" s="10" t="s">
        <v>132</v>
      </c>
      <c r="H37" s="3" t="s">
        <v>133</v>
      </c>
      <c r="I37" s="3" t="s">
        <v>134</v>
      </c>
      <c r="J37" s="3" t="s">
        <v>135</v>
      </c>
    </row>
    <row r="38" spans="2:10" ht="89.25" x14ac:dyDescent="0.25">
      <c r="B38" s="1">
        <f t="shared" si="7"/>
        <v>25</v>
      </c>
      <c r="C38" s="2">
        <v>4</v>
      </c>
      <c r="D38" s="3" t="s">
        <v>15</v>
      </c>
      <c r="E38" s="2">
        <v>1</v>
      </c>
      <c r="F38" s="5" t="s">
        <v>136</v>
      </c>
      <c r="G38" s="10" t="s">
        <v>137</v>
      </c>
      <c r="H38" s="3" t="s">
        <v>138</v>
      </c>
      <c r="I38" s="3" t="s">
        <v>139</v>
      </c>
      <c r="J38" s="3" t="s">
        <v>140</v>
      </c>
    </row>
    <row r="39" spans="2:10" ht="89.25" x14ac:dyDescent="0.25">
      <c r="B39" s="1">
        <f t="shared" si="7"/>
        <v>26</v>
      </c>
      <c r="C39" s="2">
        <v>4</v>
      </c>
      <c r="D39" s="3" t="s">
        <v>15</v>
      </c>
      <c r="E39" s="2">
        <v>1</v>
      </c>
      <c r="F39" s="5" t="s">
        <v>141</v>
      </c>
      <c r="G39" s="10" t="s">
        <v>142</v>
      </c>
      <c r="H39" s="3" t="s">
        <v>143</v>
      </c>
      <c r="I39" s="3" t="s">
        <v>64</v>
      </c>
      <c r="J39" s="3" t="s">
        <v>144</v>
      </c>
    </row>
    <row r="40" spans="2:10" ht="89.25" x14ac:dyDescent="0.25">
      <c r="B40" s="1">
        <f t="shared" si="7"/>
        <v>27</v>
      </c>
      <c r="C40" s="2">
        <v>4</v>
      </c>
      <c r="D40" s="3" t="s">
        <v>15</v>
      </c>
      <c r="E40" s="2">
        <v>2</v>
      </c>
      <c r="F40" s="5" t="s">
        <v>145</v>
      </c>
      <c r="G40" s="10" t="s">
        <v>146</v>
      </c>
      <c r="H40" s="3" t="s">
        <v>147</v>
      </c>
      <c r="I40" s="3" t="s">
        <v>148</v>
      </c>
      <c r="J40" s="3" t="s">
        <v>149</v>
      </c>
    </row>
    <row r="41" spans="2:10" ht="89.25" x14ac:dyDescent="0.25">
      <c r="B41" s="1">
        <f t="shared" si="7"/>
        <v>28</v>
      </c>
      <c r="C41" s="2">
        <v>4</v>
      </c>
      <c r="D41" s="3" t="s">
        <v>15</v>
      </c>
      <c r="E41" s="2">
        <v>2</v>
      </c>
      <c r="F41" s="5" t="s">
        <v>150</v>
      </c>
      <c r="G41" s="10" t="s">
        <v>151</v>
      </c>
      <c r="H41" s="3" t="s">
        <v>152</v>
      </c>
      <c r="I41" s="3" t="s">
        <v>153</v>
      </c>
      <c r="J41" s="3" t="s">
        <v>154</v>
      </c>
    </row>
    <row r="42" spans="2:10" ht="89.25" x14ac:dyDescent="0.25">
      <c r="B42" s="1">
        <f t="shared" si="7"/>
        <v>29</v>
      </c>
      <c r="C42" s="2">
        <v>4</v>
      </c>
      <c r="D42" s="3" t="s">
        <v>15</v>
      </c>
      <c r="E42" s="2">
        <v>3</v>
      </c>
      <c r="F42" s="5" t="s">
        <v>155</v>
      </c>
      <c r="G42" s="10" t="s">
        <v>156</v>
      </c>
      <c r="H42" s="3" t="s">
        <v>157</v>
      </c>
      <c r="I42" s="3" t="s">
        <v>158</v>
      </c>
      <c r="J42" s="3" t="s">
        <v>159</v>
      </c>
    </row>
    <row r="43" spans="2:10" ht="89.25" x14ac:dyDescent="0.25">
      <c r="B43" s="1">
        <f t="shared" si="7"/>
        <v>30</v>
      </c>
      <c r="C43" s="2">
        <v>4</v>
      </c>
      <c r="D43" s="3" t="s">
        <v>15</v>
      </c>
      <c r="E43" s="2">
        <v>3</v>
      </c>
      <c r="F43" s="5" t="s">
        <v>160</v>
      </c>
      <c r="G43" s="11" t="s">
        <v>161</v>
      </c>
      <c r="H43" s="8" t="s">
        <v>162</v>
      </c>
      <c r="I43" s="8" t="s">
        <v>163</v>
      </c>
      <c r="J43" s="8" t="s">
        <v>164</v>
      </c>
    </row>
    <row r="44" spans="2:10" ht="89.25" x14ac:dyDescent="0.25">
      <c r="B44" s="1">
        <f t="shared" si="7"/>
        <v>31</v>
      </c>
      <c r="C44" s="2">
        <v>4</v>
      </c>
      <c r="D44" s="3" t="s">
        <v>15</v>
      </c>
      <c r="E44" s="2">
        <v>4</v>
      </c>
      <c r="F44" s="5" t="s">
        <v>165</v>
      </c>
      <c r="G44" s="11" t="s">
        <v>166</v>
      </c>
      <c r="H44" s="8" t="s">
        <v>167</v>
      </c>
      <c r="I44" s="8" t="s">
        <v>168</v>
      </c>
      <c r="J44" s="8" t="s">
        <v>169</v>
      </c>
    </row>
    <row r="45" spans="2:10" ht="89.25" x14ac:dyDescent="0.25">
      <c r="B45" s="1">
        <f t="shared" si="7"/>
        <v>32</v>
      </c>
      <c r="C45" s="2">
        <v>4</v>
      </c>
      <c r="D45" s="3" t="s">
        <v>15</v>
      </c>
      <c r="E45" s="2">
        <v>4</v>
      </c>
      <c r="F45" s="5" t="s">
        <v>170</v>
      </c>
      <c r="G45" s="11" t="s">
        <v>171</v>
      </c>
      <c r="H45" s="8" t="s">
        <v>172</v>
      </c>
      <c r="I45" s="8" t="s">
        <v>173</v>
      </c>
      <c r="J45" s="8" t="s">
        <v>174</v>
      </c>
    </row>
    <row r="46" spans="2:10" x14ac:dyDescent="0.25">
      <c r="B46" s="1">
        <f t="shared" si="7"/>
        <v>33</v>
      </c>
      <c r="C46" s="2"/>
      <c r="D46" s="3"/>
      <c r="E46" s="2"/>
      <c r="F46" s="5"/>
      <c r="G46" s="11"/>
      <c r="H46" s="8"/>
      <c r="I46" s="8"/>
      <c r="J46" s="8"/>
    </row>
    <row r="47" spans="2:10" x14ac:dyDescent="0.25">
      <c r="B47" s="1">
        <f t="shared" si="7"/>
        <v>34</v>
      </c>
      <c r="C47" s="2"/>
      <c r="D47" s="3"/>
      <c r="E47" s="2"/>
      <c r="F47" s="5"/>
      <c r="G47" s="10"/>
      <c r="H47" s="3"/>
      <c r="I47" s="3"/>
      <c r="J47" s="3"/>
    </row>
    <row r="48" spans="2:10" x14ac:dyDescent="0.25">
      <c r="B48" s="1">
        <f t="shared" si="7"/>
        <v>35</v>
      </c>
      <c r="C48" s="2"/>
      <c r="D48" s="3"/>
      <c r="E48" s="2"/>
      <c r="F48" s="5"/>
      <c r="G48" s="10"/>
      <c r="H48" s="3"/>
      <c r="I48" s="3"/>
      <c r="J48" s="3"/>
    </row>
    <row r="49" spans="2:10" x14ac:dyDescent="0.25">
      <c r="B49" s="1">
        <f t="shared" si="7"/>
        <v>36</v>
      </c>
      <c r="C49" s="2"/>
      <c r="D49" s="3"/>
      <c r="E49" s="2"/>
      <c r="F49" s="5"/>
      <c r="G49" s="10"/>
      <c r="H49" s="3"/>
      <c r="I49" s="3"/>
      <c r="J49" s="3"/>
    </row>
    <row r="50" spans="2:10" x14ac:dyDescent="0.25">
      <c r="B50" s="1">
        <f t="shared" si="7"/>
        <v>37</v>
      </c>
      <c r="C50" s="2"/>
      <c r="D50" s="3"/>
      <c r="E50" s="2"/>
      <c r="F50" s="5"/>
      <c r="G50" s="10"/>
      <c r="H50" s="3"/>
      <c r="I50" s="3"/>
      <c r="J50" s="3"/>
    </row>
    <row r="51" spans="2:10" x14ac:dyDescent="0.25">
      <c r="B51" s="1">
        <f t="shared" si="7"/>
        <v>38</v>
      </c>
      <c r="C51" s="2"/>
      <c r="D51" s="3"/>
      <c r="E51" s="2"/>
      <c r="F51" s="5"/>
      <c r="G51" s="10"/>
      <c r="H51" s="3"/>
      <c r="I51" s="3"/>
      <c r="J51" s="3"/>
    </row>
    <row r="52" spans="2:10" x14ac:dyDescent="0.25">
      <c r="B52" s="1">
        <f t="shared" si="7"/>
        <v>39</v>
      </c>
      <c r="C52" s="2"/>
      <c r="D52" s="3"/>
      <c r="E52" s="2"/>
      <c r="F52" s="5"/>
      <c r="G52" s="10"/>
      <c r="H52" s="3"/>
      <c r="I52" s="3"/>
      <c r="J52" s="3"/>
    </row>
    <row r="53" spans="2:10" x14ac:dyDescent="0.25">
      <c r="B53" s="1">
        <f t="shared" si="7"/>
        <v>40</v>
      </c>
      <c r="C53" s="2"/>
      <c r="D53" s="3"/>
      <c r="E53" s="2"/>
      <c r="F53" s="5"/>
      <c r="G53" s="9"/>
      <c r="H53" s="7"/>
      <c r="I53" s="7"/>
      <c r="J53" s="7"/>
    </row>
    <row r="54" spans="2:10" x14ac:dyDescent="0.25">
      <c r="B54" s="1">
        <f t="shared" si="7"/>
        <v>41</v>
      </c>
      <c r="C54" s="2"/>
      <c r="D54" s="3"/>
      <c r="E54" s="2"/>
      <c r="F54" s="5"/>
      <c r="G54" s="10"/>
      <c r="H54" s="3"/>
      <c r="I54" s="3"/>
      <c r="J54" s="3"/>
    </row>
    <row r="55" spans="2:10" x14ac:dyDescent="0.25">
      <c r="B55" s="1">
        <f t="shared" si="7"/>
        <v>42</v>
      </c>
      <c r="C55" s="2"/>
      <c r="D55" s="3"/>
      <c r="E55" s="2"/>
      <c r="F55" s="5"/>
      <c r="G55" s="10"/>
      <c r="H55" s="3"/>
      <c r="I55" s="3"/>
      <c r="J55" s="3"/>
    </row>
    <row r="56" spans="2:10" x14ac:dyDescent="0.25">
      <c r="B56" s="1">
        <f>ROW()-ROW($B$13)</f>
        <v>43</v>
      </c>
      <c r="C56" s="2"/>
      <c r="D56" s="3"/>
      <c r="E56" s="2"/>
      <c r="F56" s="5"/>
      <c r="G56" s="9"/>
      <c r="H56" s="7"/>
      <c r="I56" s="7"/>
      <c r="J56" s="7"/>
    </row>
    <row r="57" spans="2:10" x14ac:dyDescent="0.25">
      <c r="B57" s="1">
        <f t="shared" ref="B57:B76" si="8">ROW()-ROW($B$13)</f>
        <v>44</v>
      </c>
      <c r="C57" s="2"/>
      <c r="D57" s="3"/>
      <c r="E57" s="2"/>
      <c r="F57" s="5"/>
      <c r="G57" s="10"/>
      <c r="H57" s="3"/>
      <c r="I57" s="3"/>
      <c r="J57" s="3"/>
    </row>
    <row r="58" spans="2:10" x14ac:dyDescent="0.25">
      <c r="B58" s="1">
        <f t="shared" si="8"/>
        <v>45</v>
      </c>
      <c r="C58" s="2"/>
      <c r="D58" s="3"/>
      <c r="E58" s="2"/>
      <c r="F58" s="5"/>
      <c r="G58" s="10"/>
      <c r="H58" s="3"/>
      <c r="I58" s="3"/>
      <c r="J58" s="3"/>
    </row>
    <row r="59" spans="2:10" x14ac:dyDescent="0.25">
      <c r="B59" s="1">
        <f t="shared" si="8"/>
        <v>46</v>
      </c>
      <c r="C59" s="2"/>
      <c r="D59" s="3"/>
      <c r="E59" s="2"/>
      <c r="F59" s="5"/>
      <c r="G59" s="10"/>
      <c r="H59" s="3"/>
      <c r="I59" s="3"/>
      <c r="J59" s="3"/>
    </row>
    <row r="60" spans="2:10" x14ac:dyDescent="0.25">
      <c r="B60" s="1">
        <f t="shared" si="8"/>
        <v>47</v>
      </c>
      <c r="C60" s="2"/>
      <c r="D60" s="3"/>
      <c r="E60" s="2"/>
      <c r="F60" s="5"/>
      <c r="G60" s="10"/>
      <c r="H60" s="3"/>
      <c r="I60" s="3"/>
      <c r="J60" s="3"/>
    </row>
    <row r="61" spans="2:10" x14ac:dyDescent="0.25">
      <c r="B61" s="1">
        <f t="shared" si="8"/>
        <v>48</v>
      </c>
      <c r="C61" s="2"/>
      <c r="D61" s="3"/>
      <c r="E61" s="2"/>
      <c r="F61" s="5"/>
      <c r="G61" s="10"/>
      <c r="H61" s="3"/>
      <c r="I61" s="3"/>
      <c r="J61" s="3"/>
    </row>
    <row r="62" spans="2:10" x14ac:dyDescent="0.25">
      <c r="B62" s="1">
        <f t="shared" si="8"/>
        <v>49</v>
      </c>
      <c r="C62" s="2"/>
      <c r="D62" s="3"/>
      <c r="E62" s="2"/>
      <c r="F62" s="5"/>
      <c r="G62" s="10"/>
      <c r="H62" s="3"/>
      <c r="I62" s="3"/>
      <c r="J62" s="3"/>
    </row>
    <row r="63" spans="2:10" x14ac:dyDescent="0.25">
      <c r="B63" s="1">
        <f t="shared" si="8"/>
        <v>50</v>
      </c>
      <c r="C63" s="2"/>
      <c r="D63" s="3"/>
      <c r="E63" s="2"/>
      <c r="F63" s="5"/>
      <c r="G63" s="10"/>
      <c r="H63" s="3"/>
      <c r="I63" s="3"/>
      <c r="J63" s="3"/>
    </row>
    <row r="64" spans="2:10" x14ac:dyDescent="0.25">
      <c r="B64" s="1">
        <f t="shared" si="8"/>
        <v>51</v>
      </c>
      <c r="C64" s="2"/>
      <c r="D64" s="3"/>
      <c r="E64" s="2"/>
      <c r="F64" s="5"/>
      <c r="G64" s="11"/>
      <c r="H64" s="8"/>
      <c r="I64" s="8"/>
      <c r="J64" s="8"/>
    </row>
    <row r="65" spans="2:10" x14ac:dyDescent="0.25">
      <c r="B65" s="1">
        <f t="shared" si="8"/>
        <v>52</v>
      </c>
      <c r="C65" s="2"/>
      <c r="D65" s="3"/>
      <c r="E65" s="2"/>
      <c r="F65" s="5"/>
      <c r="G65" s="11"/>
      <c r="H65" s="8"/>
      <c r="I65" s="8"/>
      <c r="J65" s="8"/>
    </row>
    <row r="66" spans="2:10" x14ac:dyDescent="0.25">
      <c r="B66" s="1">
        <f t="shared" si="8"/>
        <v>53</v>
      </c>
      <c r="C66" s="2"/>
      <c r="D66" s="3"/>
      <c r="E66" s="2"/>
      <c r="F66" s="5"/>
      <c r="G66" s="11"/>
      <c r="H66" s="8"/>
      <c r="I66" s="8"/>
      <c r="J66" s="8"/>
    </row>
    <row r="67" spans="2:10" x14ac:dyDescent="0.25">
      <c r="B67" s="1">
        <f t="shared" si="8"/>
        <v>54</v>
      </c>
      <c r="C67" s="2"/>
      <c r="D67" s="3"/>
      <c r="E67" s="2"/>
      <c r="F67" s="5"/>
      <c r="G67" s="11"/>
      <c r="H67" s="8"/>
      <c r="I67" s="8"/>
      <c r="J67" s="8"/>
    </row>
    <row r="68" spans="2:10" x14ac:dyDescent="0.25">
      <c r="B68" s="1">
        <f t="shared" si="8"/>
        <v>55</v>
      </c>
      <c r="C68" s="2"/>
      <c r="D68" s="3"/>
      <c r="E68" s="2"/>
      <c r="F68" s="5"/>
      <c r="G68" s="10"/>
      <c r="H68" s="3"/>
      <c r="I68" s="3"/>
      <c r="J68" s="3"/>
    </row>
    <row r="69" spans="2:10" x14ac:dyDescent="0.25">
      <c r="B69" s="1">
        <f t="shared" si="8"/>
        <v>56</v>
      </c>
      <c r="C69" s="2"/>
      <c r="D69" s="3"/>
      <c r="E69" s="2"/>
      <c r="F69" s="5"/>
      <c r="G69" s="10"/>
      <c r="H69" s="3"/>
      <c r="I69" s="3"/>
      <c r="J69" s="3"/>
    </row>
    <row r="70" spans="2:10" x14ac:dyDescent="0.25">
      <c r="B70" s="1">
        <f t="shared" si="8"/>
        <v>57</v>
      </c>
      <c r="C70" s="2"/>
      <c r="D70" s="3"/>
      <c r="E70" s="2"/>
      <c r="F70" s="5"/>
      <c r="G70" s="10"/>
      <c r="H70" s="3"/>
      <c r="I70" s="3"/>
      <c r="J70" s="3"/>
    </row>
    <row r="71" spans="2:10" x14ac:dyDescent="0.25">
      <c r="B71" s="1">
        <f t="shared" si="8"/>
        <v>58</v>
      </c>
      <c r="C71" s="2"/>
      <c r="D71" s="3"/>
      <c r="E71" s="2"/>
      <c r="F71" s="5"/>
      <c r="G71" s="10"/>
      <c r="H71" s="3"/>
      <c r="I71" s="3"/>
      <c r="J71" s="3"/>
    </row>
    <row r="72" spans="2:10" x14ac:dyDescent="0.25">
      <c r="B72" s="1">
        <f t="shared" si="8"/>
        <v>59</v>
      </c>
      <c r="C72" s="2"/>
      <c r="D72" s="3"/>
      <c r="E72" s="2"/>
      <c r="F72" s="5"/>
      <c r="G72" s="10"/>
      <c r="H72" s="3"/>
      <c r="I72" s="3"/>
      <c r="J72" s="3"/>
    </row>
    <row r="73" spans="2:10" x14ac:dyDescent="0.25">
      <c r="B73" s="1">
        <f t="shared" si="8"/>
        <v>60</v>
      </c>
      <c r="C73" s="2"/>
      <c r="D73" s="3"/>
      <c r="E73" s="2"/>
      <c r="F73" s="5"/>
      <c r="G73" s="10"/>
      <c r="H73" s="3"/>
      <c r="I73" s="3"/>
      <c r="J73" s="3"/>
    </row>
    <row r="74" spans="2:10" x14ac:dyDescent="0.25">
      <c r="B74" s="1">
        <f t="shared" si="8"/>
        <v>61</v>
      </c>
      <c r="C74" s="2"/>
      <c r="D74" s="3"/>
      <c r="E74" s="2"/>
      <c r="F74" s="5"/>
      <c r="G74" s="9"/>
      <c r="H74" s="7"/>
      <c r="I74" s="7"/>
      <c r="J74" s="7"/>
    </row>
    <row r="75" spans="2:10" x14ac:dyDescent="0.25">
      <c r="B75" s="1">
        <f t="shared" si="8"/>
        <v>62</v>
      </c>
      <c r="C75" s="2"/>
      <c r="D75" s="3"/>
      <c r="E75" s="2"/>
      <c r="F75" s="5"/>
      <c r="G75" s="10"/>
      <c r="H75" s="3"/>
      <c r="I75" s="3"/>
      <c r="J75" s="3"/>
    </row>
    <row r="76" spans="2:10" x14ac:dyDescent="0.25">
      <c r="B76" s="1">
        <f t="shared" si="8"/>
        <v>63</v>
      </c>
      <c r="C76" s="2"/>
      <c r="D76" s="3"/>
      <c r="E76" s="2"/>
      <c r="F76" s="5"/>
      <c r="G76" s="10"/>
      <c r="H76" s="3"/>
      <c r="I76" s="3"/>
      <c r="J76" s="3"/>
    </row>
    <row r="77" spans="2:10" x14ac:dyDescent="0.25">
      <c r="B77" s="1">
        <f>ROW()-ROW($B$13)</f>
        <v>64</v>
      </c>
      <c r="C77" s="2"/>
      <c r="D77" s="3"/>
      <c r="E77" s="2"/>
      <c r="F77" s="5"/>
      <c r="G77" s="9"/>
      <c r="H77" s="7"/>
      <c r="I77" s="7"/>
      <c r="J77" s="7"/>
    </row>
    <row r="78" spans="2:10" x14ac:dyDescent="0.25">
      <c r="B78" s="1">
        <f t="shared" ref="B78:B113" si="9">ROW()-ROW($B$13)</f>
        <v>65</v>
      </c>
      <c r="C78" s="2"/>
      <c r="D78" s="3"/>
      <c r="E78" s="2"/>
      <c r="F78" s="5"/>
      <c r="G78" s="10"/>
      <c r="H78" s="3"/>
      <c r="I78" s="3"/>
      <c r="J78" s="3"/>
    </row>
    <row r="79" spans="2:10" x14ac:dyDescent="0.25">
      <c r="B79" s="1">
        <f t="shared" si="9"/>
        <v>66</v>
      </c>
      <c r="C79" s="2"/>
      <c r="D79" s="3"/>
      <c r="E79" s="2"/>
      <c r="F79" s="5"/>
      <c r="G79" s="10"/>
      <c r="H79" s="3"/>
      <c r="I79" s="3"/>
      <c r="J79" s="3"/>
    </row>
    <row r="80" spans="2:10" x14ac:dyDescent="0.25">
      <c r="B80" s="1">
        <f t="shared" si="9"/>
        <v>67</v>
      </c>
      <c r="C80" s="2"/>
      <c r="D80" s="3"/>
      <c r="E80" s="2"/>
      <c r="F80" s="5"/>
      <c r="G80" s="10"/>
      <c r="H80" s="3"/>
      <c r="I80" s="3"/>
      <c r="J80" s="3"/>
    </row>
    <row r="81" spans="2:10" x14ac:dyDescent="0.25">
      <c r="B81" s="1">
        <f t="shared" si="9"/>
        <v>68</v>
      </c>
      <c r="C81" s="2"/>
      <c r="D81" s="3"/>
      <c r="E81" s="2"/>
      <c r="F81" s="5"/>
      <c r="G81" s="10"/>
      <c r="H81" s="3"/>
      <c r="I81" s="3"/>
      <c r="J81" s="3"/>
    </row>
    <row r="82" spans="2:10" x14ac:dyDescent="0.25">
      <c r="B82" s="1">
        <f t="shared" si="9"/>
        <v>69</v>
      </c>
      <c r="C82" s="2"/>
      <c r="D82" s="3"/>
      <c r="E82" s="2"/>
      <c r="F82" s="5"/>
      <c r="G82" s="10"/>
      <c r="H82" s="3"/>
      <c r="I82" s="3"/>
      <c r="J82" s="3"/>
    </row>
    <row r="83" spans="2:10" x14ac:dyDescent="0.25">
      <c r="B83" s="1">
        <f t="shared" si="9"/>
        <v>70</v>
      </c>
      <c r="C83" s="2"/>
      <c r="D83" s="3"/>
      <c r="E83" s="2"/>
      <c r="F83" s="5"/>
      <c r="G83" s="10"/>
      <c r="H83" s="3"/>
      <c r="I83" s="3"/>
      <c r="J83" s="3"/>
    </row>
    <row r="84" spans="2:10" x14ac:dyDescent="0.25">
      <c r="B84" s="1">
        <f t="shared" si="9"/>
        <v>71</v>
      </c>
      <c r="C84" s="2"/>
      <c r="D84" s="3"/>
      <c r="E84" s="2"/>
      <c r="F84" s="5"/>
      <c r="G84" s="10"/>
      <c r="H84" s="3"/>
      <c r="I84" s="3"/>
      <c r="J84" s="3"/>
    </row>
    <row r="85" spans="2:10" x14ac:dyDescent="0.25">
      <c r="B85" s="1">
        <f t="shared" si="9"/>
        <v>72</v>
      </c>
      <c r="C85" s="2"/>
      <c r="D85" s="3"/>
      <c r="E85" s="2"/>
      <c r="F85" s="5"/>
      <c r="G85" s="11"/>
      <c r="H85" s="8"/>
      <c r="I85" s="8"/>
      <c r="J85" s="8"/>
    </row>
    <row r="86" spans="2:10" x14ac:dyDescent="0.25">
      <c r="B86" s="1">
        <f t="shared" si="9"/>
        <v>73</v>
      </c>
      <c r="C86" s="2"/>
      <c r="D86" s="3"/>
      <c r="E86" s="2"/>
      <c r="F86" s="5"/>
      <c r="G86" s="11"/>
      <c r="H86" s="8"/>
      <c r="I86" s="8"/>
      <c r="J86" s="8"/>
    </row>
    <row r="87" spans="2:10" x14ac:dyDescent="0.25">
      <c r="B87" s="1">
        <f t="shared" si="9"/>
        <v>74</v>
      </c>
      <c r="C87" s="2"/>
      <c r="D87" s="3"/>
      <c r="E87" s="2"/>
      <c r="F87" s="5"/>
      <c r="G87" s="11"/>
      <c r="H87" s="8"/>
      <c r="I87" s="8"/>
      <c r="J87" s="8"/>
    </row>
    <row r="88" spans="2:10" x14ac:dyDescent="0.25">
      <c r="B88" s="1">
        <f t="shared" si="9"/>
        <v>75</v>
      </c>
      <c r="C88" s="2"/>
      <c r="D88" s="3"/>
      <c r="E88" s="2"/>
      <c r="F88" s="5"/>
      <c r="G88" s="11"/>
      <c r="H88" s="8"/>
      <c r="I88" s="8"/>
      <c r="J88" s="8"/>
    </row>
    <row r="89" spans="2:10" x14ac:dyDescent="0.25">
      <c r="B89" s="1">
        <f t="shared" si="9"/>
        <v>76</v>
      </c>
      <c r="C89" s="2"/>
      <c r="D89" s="3"/>
      <c r="E89" s="2"/>
      <c r="F89" s="5"/>
      <c r="G89" s="10"/>
      <c r="H89" s="3"/>
      <c r="I89" s="3"/>
      <c r="J89" s="3"/>
    </row>
    <row r="90" spans="2:10" x14ac:dyDescent="0.25">
      <c r="B90" s="1">
        <f t="shared" si="9"/>
        <v>77</v>
      </c>
      <c r="C90" s="2"/>
      <c r="D90" s="3"/>
      <c r="E90" s="2"/>
      <c r="F90" s="5"/>
      <c r="G90" s="10"/>
      <c r="H90" s="3"/>
      <c r="I90" s="3"/>
      <c r="J90" s="3"/>
    </row>
    <row r="91" spans="2:10" x14ac:dyDescent="0.25">
      <c r="B91" s="1">
        <f t="shared" si="9"/>
        <v>78</v>
      </c>
      <c r="C91" s="2"/>
      <c r="D91" s="3"/>
      <c r="E91" s="2"/>
      <c r="F91" s="5"/>
      <c r="G91" s="10"/>
      <c r="H91" s="3"/>
      <c r="I91" s="3"/>
      <c r="J91" s="3"/>
    </row>
    <row r="92" spans="2:10" x14ac:dyDescent="0.25">
      <c r="B92" s="1">
        <f t="shared" si="9"/>
        <v>79</v>
      </c>
      <c r="C92" s="2"/>
      <c r="D92" s="3"/>
      <c r="E92" s="2"/>
      <c r="F92" s="5"/>
      <c r="G92" s="10"/>
      <c r="H92" s="3"/>
      <c r="I92" s="3"/>
      <c r="J92" s="3"/>
    </row>
    <row r="93" spans="2:10" x14ac:dyDescent="0.25">
      <c r="B93" s="1">
        <f t="shared" si="9"/>
        <v>80</v>
      </c>
      <c r="C93" s="2"/>
      <c r="D93" s="3"/>
      <c r="E93" s="2"/>
      <c r="F93" s="5"/>
      <c r="G93" s="10"/>
      <c r="H93" s="3"/>
      <c r="I93" s="3"/>
      <c r="J93" s="3"/>
    </row>
    <row r="94" spans="2:10" x14ac:dyDescent="0.25">
      <c r="B94" s="1">
        <f t="shared" si="9"/>
        <v>81</v>
      </c>
      <c r="C94" s="2"/>
      <c r="D94" s="3"/>
      <c r="E94" s="2"/>
      <c r="F94" s="5"/>
      <c r="G94" s="10"/>
      <c r="H94" s="3"/>
      <c r="I94" s="3"/>
      <c r="J94" s="3"/>
    </row>
    <row r="95" spans="2:10" x14ac:dyDescent="0.25">
      <c r="B95" s="1">
        <f t="shared" si="9"/>
        <v>82</v>
      </c>
      <c r="C95" s="2"/>
      <c r="D95" s="3"/>
      <c r="E95" s="2"/>
      <c r="F95" s="5"/>
      <c r="G95" s="9"/>
      <c r="H95" s="7"/>
      <c r="I95" s="7"/>
      <c r="J95" s="7"/>
    </row>
    <row r="96" spans="2:10" x14ac:dyDescent="0.25">
      <c r="B96" s="1">
        <f t="shared" si="9"/>
        <v>83</v>
      </c>
      <c r="C96" s="2"/>
      <c r="D96" s="3"/>
      <c r="E96" s="2"/>
      <c r="F96" s="5"/>
      <c r="G96" s="10"/>
      <c r="H96" s="3"/>
      <c r="I96" s="3"/>
      <c r="J96" s="3"/>
    </row>
    <row r="97" spans="2:10" x14ac:dyDescent="0.25">
      <c r="B97" s="1">
        <f t="shared" si="9"/>
        <v>84</v>
      </c>
      <c r="C97" s="2"/>
      <c r="D97" s="3"/>
      <c r="E97" s="2"/>
      <c r="F97" s="5"/>
      <c r="G97" s="10"/>
      <c r="H97" s="3"/>
      <c r="I97" s="3"/>
      <c r="J97" s="3"/>
    </row>
    <row r="98" spans="2:10" x14ac:dyDescent="0.25">
      <c r="B98" s="1">
        <f t="shared" si="9"/>
        <v>85</v>
      </c>
      <c r="C98" s="2"/>
      <c r="D98" s="3"/>
      <c r="E98" s="2"/>
      <c r="F98" s="5"/>
      <c r="G98" s="11"/>
      <c r="H98" s="8"/>
      <c r="I98" s="8"/>
      <c r="J98" s="8"/>
    </row>
    <row r="99" spans="2:10" x14ac:dyDescent="0.25">
      <c r="B99" s="1">
        <f t="shared" si="9"/>
        <v>86</v>
      </c>
      <c r="C99" s="2"/>
      <c r="D99" s="3"/>
      <c r="E99" s="2"/>
      <c r="F99" s="5"/>
      <c r="G99" s="11"/>
      <c r="H99" s="8"/>
      <c r="I99" s="8"/>
      <c r="J99" s="8"/>
    </row>
    <row r="100" spans="2:10" x14ac:dyDescent="0.25">
      <c r="B100" s="1">
        <f t="shared" si="9"/>
        <v>87</v>
      </c>
      <c r="C100" s="2"/>
      <c r="D100" s="3"/>
      <c r="E100" s="2"/>
      <c r="F100" s="5"/>
      <c r="G100" s="11"/>
      <c r="H100" s="8"/>
      <c r="I100" s="8"/>
      <c r="J100" s="8"/>
    </row>
    <row r="101" spans="2:10" x14ac:dyDescent="0.25">
      <c r="B101" s="1">
        <f t="shared" si="9"/>
        <v>88</v>
      </c>
      <c r="C101" s="2"/>
      <c r="D101" s="3"/>
      <c r="E101" s="2"/>
      <c r="F101" s="5"/>
      <c r="G101" s="10"/>
      <c r="H101" s="3"/>
      <c r="I101" s="3"/>
      <c r="J101" s="3"/>
    </row>
    <row r="102" spans="2:10" x14ac:dyDescent="0.25">
      <c r="B102" s="1">
        <f t="shared" si="9"/>
        <v>89</v>
      </c>
      <c r="C102" s="2"/>
      <c r="D102" s="3"/>
      <c r="E102" s="2"/>
      <c r="F102" s="5"/>
      <c r="G102" s="10"/>
      <c r="H102" s="3"/>
      <c r="I102" s="3"/>
      <c r="J102" s="3"/>
    </row>
    <row r="103" spans="2:10" x14ac:dyDescent="0.25">
      <c r="B103" s="1">
        <f t="shared" si="9"/>
        <v>90</v>
      </c>
      <c r="C103" s="2"/>
      <c r="D103" s="3"/>
      <c r="E103" s="2"/>
      <c r="F103" s="5"/>
      <c r="G103" s="10"/>
      <c r="H103" s="3"/>
      <c r="I103" s="3"/>
      <c r="J103" s="3"/>
    </row>
    <row r="104" spans="2:10" x14ac:dyDescent="0.25">
      <c r="B104" s="1">
        <f t="shared" si="9"/>
        <v>91</v>
      </c>
      <c r="C104" s="2"/>
      <c r="D104" s="3"/>
      <c r="E104" s="2"/>
      <c r="F104" s="5"/>
      <c r="G104" s="10"/>
      <c r="H104" s="3"/>
      <c r="I104" s="3"/>
      <c r="J104" s="3"/>
    </row>
    <row r="105" spans="2:10" x14ac:dyDescent="0.25">
      <c r="B105" s="1">
        <f t="shared" si="9"/>
        <v>92</v>
      </c>
      <c r="C105" s="2"/>
      <c r="D105" s="3"/>
      <c r="E105" s="2"/>
      <c r="F105" s="5"/>
      <c r="G105" s="10"/>
      <c r="H105" s="3"/>
      <c r="I105" s="3"/>
      <c r="J105" s="3"/>
    </row>
    <row r="106" spans="2:10" x14ac:dyDescent="0.25">
      <c r="B106" s="1">
        <f t="shared" si="9"/>
        <v>93</v>
      </c>
      <c r="C106" s="2"/>
      <c r="D106" s="3"/>
      <c r="E106" s="2"/>
      <c r="F106" s="5"/>
      <c r="G106" s="10"/>
      <c r="H106" s="3"/>
      <c r="I106" s="3"/>
      <c r="J106" s="3"/>
    </row>
    <row r="107" spans="2:10" x14ac:dyDescent="0.25">
      <c r="B107" s="1">
        <f t="shared" si="9"/>
        <v>94</v>
      </c>
      <c r="C107" s="2"/>
      <c r="D107" s="3"/>
      <c r="E107" s="2"/>
      <c r="F107" s="5"/>
      <c r="G107" s="9"/>
      <c r="H107" s="7"/>
      <c r="I107" s="7"/>
      <c r="J107" s="7"/>
    </row>
    <row r="108" spans="2:10" x14ac:dyDescent="0.25">
      <c r="B108" s="1">
        <f t="shared" si="9"/>
        <v>95</v>
      </c>
      <c r="C108" s="2"/>
      <c r="D108" s="3"/>
      <c r="E108" s="2"/>
      <c r="F108" s="5"/>
      <c r="G108" s="10"/>
      <c r="H108" s="3"/>
      <c r="I108" s="3"/>
      <c r="J108" s="3"/>
    </row>
    <row r="109" spans="2:10" x14ac:dyDescent="0.25">
      <c r="B109" s="1">
        <f t="shared" si="9"/>
        <v>96</v>
      </c>
      <c r="C109" s="2"/>
      <c r="D109" s="3"/>
      <c r="E109" s="2"/>
      <c r="F109" s="5"/>
      <c r="G109" s="10"/>
      <c r="H109" s="3"/>
      <c r="I109" s="3"/>
      <c r="J109" s="3"/>
    </row>
    <row r="110" spans="2:10" x14ac:dyDescent="0.25">
      <c r="B110" s="1">
        <f t="shared" si="9"/>
        <v>97</v>
      </c>
      <c r="C110" s="2"/>
      <c r="D110" s="3"/>
      <c r="E110" s="2"/>
      <c r="F110" s="5"/>
      <c r="G110" s="10"/>
      <c r="H110" s="3"/>
      <c r="I110" s="3"/>
      <c r="J110" s="3"/>
    </row>
    <row r="111" spans="2:10" x14ac:dyDescent="0.25">
      <c r="B111" s="1">
        <f t="shared" si="9"/>
        <v>98</v>
      </c>
      <c r="C111" s="2"/>
      <c r="D111" s="3"/>
      <c r="E111" s="2"/>
      <c r="F111" s="5"/>
      <c r="G111" s="9"/>
      <c r="H111" s="7"/>
      <c r="I111" s="7"/>
      <c r="J111" s="7"/>
    </row>
    <row r="112" spans="2:10" x14ac:dyDescent="0.25">
      <c r="B112" s="1">
        <f t="shared" si="9"/>
        <v>99</v>
      </c>
      <c r="C112" s="2"/>
      <c r="D112" s="3"/>
      <c r="E112" s="2"/>
      <c r="F112" s="5"/>
      <c r="G112" s="10"/>
      <c r="H112" s="3"/>
      <c r="I112" s="3"/>
      <c r="J112" s="3"/>
    </row>
    <row r="113" spans="2:10" x14ac:dyDescent="0.25">
      <c r="B113" s="1">
        <f t="shared" si="9"/>
        <v>100</v>
      </c>
      <c r="C113" s="2"/>
      <c r="D113" s="3"/>
      <c r="E113" s="2"/>
      <c r="F113" s="5"/>
      <c r="G113" s="10"/>
      <c r="H113" s="3"/>
      <c r="I113" s="3"/>
      <c r="J113" s="3"/>
    </row>
  </sheetData>
  <autoFilter ref="B13:M137" xr:uid="{B005C0B0-9D89-4729-AC6E-7F1010ED0730}"/>
  <mergeCells count="6">
    <mergeCell ref="F11:F12"/>
    <mergeCell ref="G11:J11"/>
    <mergeCell ref="B11:B12"/>
    <mergeCell ref="C11:C12"/>
    <mergeCell ref="D11:D12"/>
    <mergeCell ref="E11:E12"/>
  </mergeCells>
  <conditionalFormatting sqref="F6:I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Luan, Nguyen Thanh Luan</cp:lastModifiedBy>
  <cp:lastPrinted>2025-07-01T12:17:07Z</cp:lastPrinted>
  <dcterms:created xsi:type="dcterms:W3CDTF">2025-07-01T11:38:19Z</dcterms:created>
  <dcterms:modified xsi:type="dcterms:W3CDTF">2026-10-02T02:32:16Z</dcterms:modified>
</cp:coreProperties>
</file>