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D:\DGNL\QTHT v2\"/>
    </mc:Choice>
  </mc:AlternateContent>
  <xr:revisionPtr revIDLastSave="0" documentId="13_ncr:1_{88E12B9A-72E2-469E-94B9-10C8A6D9698F}" xr6:coauthVersionLast="47" xr6:coauthVersionMax="47" xr10:uidLastSave="{00000000-0000-0000-0000-000000000000}"/>
  <bookViews>
    <workbookView xWindow="-120" yWindow="-120" windowWidth="29040" windowHeight="15720" firstSheet="1" activeTab="1" xr2:uid="{0A323993-6B0E-4465-9440-DABB234748ED}"/>
  </bookViews>
  <sheets>
    <sheet name="Sheet1" sheetId="1" r:id="rId1"/>
    <sheet name="P30_final" sheetId="2" r:id="rId2"/>
  </sheets>
  <definedNames>
    <definedName name="_xlnm._FilterDatabase" localSheetId="1" hidden="1">P30_final!$B$13:$M$81</definedName>
    <definedName name="_xlnm._FilterDatabase" localSheetId="0" hidden="1">Sheet1!$B$13:$M$97</definedName>
    <definedName name="_xlnm.Print_Area" localSheetId="1">P30_final!$F$11:$J$57</definedName>
    <definedName name="_xlnm.Print_Area" localSheetId="0">Sheet1!$B$1:$L$73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7" i="2" l="1"/>
  <c r="B56" i="2"/>
  <c r="B55" i="2"/>
  <c r="B54" i="2"/>
  <c r="B53" i="2"/>
  <c r="B52" i="2"/>
  <c r="B51" i="2"/>
  <c r="B50" i="2"/>
  <c r="B49" i="2"/>
  <c r="B48" i="2"/>
  <c r="B47" i="2"/>
  <c r="B46" i="2"/>
  <c r="B45" i="2"/>
  <c r="B44" i="2"/>
  <c r="B43" i="2"/>
  <c r="B42" i="2"/>
  <c r="B41" i="2"/>
  <c r="B40" i="2"/>
  <c r="B39" i="2"/>
  <c r="B38" i="2"/>
  <c r="B37" i="2"/>
  <c r="B36" i="2"/>
  <c r="B35" i="2"/>
  <c r="B34" i="2"/>
  <c r="B33" i="2"/>
  <c r="B32" i="2"/>
  <c r="B31" i="2"/>
  <c r="B30" i="2"/>
  <c r="B29" i="2"/>
  <c r="B28" i="2"/>
  <c r="B27" i="2"/>
  <c r="B26" i="2"/>
  <c r="B25" i="2"/>
  <c r="B24" i="2"/>
  <c r="B23" i="2"/>
  <c r="B22" i="2"/>
  <c r="B21" i="2"/>
  <c r="B20" i="2"/>
  <c r="B19" i="2"/>
  <c r="B18" i="2"/>
  <c r="B17" i="2"/>
  <c r="B16" i="2"/>
  <c r="B15" i="2"/>
  <c r="B14" i="2"/>
  <c r="J13" i="2"/>
  <c r="I13" i="2"/>
  <c r="H13" i="2"/>
  <c r="G13" i="2"/>
  <c r="F13" i="2"/>
  <c r="E13" i="2"/>
  <c r="D13" i="2"/>
  <c r="C13" i="2"/>
  <c r="B13" i="2"/>
  <c r="H9" i="2"/>
  <c r="G9" i="2"/>
  <c r="F9" i="2"/>
  <c r="H8" i="2"/>
  <c r="G8" i="2"/>
  <c r="F8" i="2"/>
  <c r="H7" i="2"/>
  <c r="G7" i="2"/>
  <c r="F7" i="2"/>
  <c r="H6" i="2"/>
  <c r="G6" i="2"/>
  <c r="F6" i="2"/>
  <c r="E6" i="2" s="1"/>
  <c r="B69" i="1"/>
  <c r="B68" i="1"/>
  <c r="B67" i="1"/>
  <c r="B66" i="1"/>
  <c r="B62" i="1"/>
  <c r="B61" i="1"/>
  <c r="B60" i="1"/>
  <c r="B59" i="1"/>
  <c r="B27" i="1"/>
  <c r="B26" i="1"/>
  <c r="B25" i="1"/>
  <c r="B24" i="1"/>
  <c r="B23" i="1"/>
  <c r="B22" i="1"/>
  <c r="B21" i="1"/>
  <c r="B20" i="1"/>
  <c r="B19" i="1"/>
  <c r="B18" i="1"/>
  <c r="B17" i="1"/>
  <c r="B16" i="1"/>
  <c r="B15" i="1"/>
  <c r="B14" i="1"/>
  <c r="B39" i="1"/>
  <c r="B38" i="1"/>
  <c r="B37" i="1"/>
  <c r="B36" i="1"/>
  <c r="B35" i="1"/>
  <c r="B34" i="1"/>
  <c r="B33" i="1"/>
  <c r="B32" i="1"/>
  <c r="B31" i="1"/>
  <c r="B30" i="1"/>
  <c r="B29" i="1"/>
  <c r="B28" i="1"/>
  <c r="B52" i="1"/>
  <c r="B51" i="1"/>
  <c r="B50" i="1"/>
  <c r="B49" i="1"/>
  <c r="B48" i="1"/>
  <c r="B47" i="1"/>
  <c r="B46" i="1"/>
  <c r="B45" i="1"/>
  <c r="B44" i="1"/>
  <c r="B43" i="1"/>
  <c r="B42" i="1"/>
  <c r="B41" i="1"/>
  <c r="B40" i="1"/>
  <c r="B54" i="1"/>
  <c r="B55" i="1"/>
  <c r="B56" i="1"/>
  <c r="B57" i="1"/>
  <c r="B58" i="1"/>
  <c r="B63" i="1"/>
  <c r="B64" i="1"/>
  <c r="B65" i="1"/>
  <c r="B70" i="1"/>
  <c r="B71" i="1"/>
  <c r="B72" i="1"/>
  <c r="B73" i="1"/>
  <c r="B53" i="1"/>
  <c r="C13" i="1"/>
  <c r="D13" i="1"/>
  <c r="E13" i="1"/>
  <c r="G6" i="1" s="1"/>
  <c r="F13" i="1"/>
  <c r="G13" i="1"/>
  <c r="H13" i="1"/>
  <c r="I13" i="1"/>
  <c r="J13" i="1"/>
  <c r="B13" i="1"/>
  <c r="E9" i="2" l="1"/>
  <c r="E7" i="2"/>
  <c r="G5" i="2"/>
  <c r="H5" i="2"/>
  <c r="E8" i="2"/>
  <c r="E5" i="2" s="1"/>
  <c r="F5" i="2"/>
  <c r="F6" i="1"/>
  <c r="F7" i="1"/>
  <c r="G7" i="1"/>
  <c r="H7" i="1"/>
  <c r="F8" i="1"/>
  <c r="G8" i="1"/>
  <c r="H8" i="1"/>
  <c r="F9" i="1"/>
  <c r="H9" i="1"/>
  <c r="G9" i="1"/>
  <c r="H6" i="1"/>
  <c r="E6" i="1" l="1"/>
  <c r="G5" i="1"/>
  <c r="E8" i="1"/>
  <c r="H5" i="1"/>
  <c r="E9" i="1"/>
  <c r="E7" i="1"/>
  <c r="F5" i="1"/>
  <c r="E5" i="1" l="1"/>
</calcChain>
</file>

<file path=xl/sharedStrings.xml><?xml version="1.0" encoding="utf-8"?>
<sst xmlns="http://schemas.openxmlformats.org/spreadsheetml/2006/main" count="598" uniqueCount="277">
  <si>
    <t>P30 - Quản trị rủi ro</t>
  </si>
  <si>
    <t xml:space="preserve">                        Khía cạnh
   Cấp độ                    </t>
  </si>
  <si>
    <t>TỔNG</t>
  </si>
  <si>
    <t>STT</t>
  </si>
  <si>
    <t>Mã khía cạnh</t>
  </si>
  <si>
    <t>Khía cạnh</t>
  </si>
  <si>
    <t>Cấp độ</t>
  </si>
  <si>
    <t>Câu hỏi</t>
  </si>
  <si>
    <t>Đáp án</t>
  </si>
  <si>
    <t>Đáp án đúng</t>
  </si>
  <si>
    <t>Phương án sai  1</t>
  </si>
  <si>
    <t>Phương án sai 2</t>
  </si>
  <si>
    <t>Phương án sai 3</t>
  </si>
  <si>
    <t>Nhận diện, đánh giá rủi ro: Xác định các rủi ro có thể xảy ra trong hoạt động của Công ty</t>
  </si>
  <si>
    <t xml:space="preserve">Các phương pháp nhận diện, đánh giá rủi ro tại NAPAS là gì?
</t>
  </si>
  <si>
    <t>Cả 3 đáp án (Quy trình, Hệ thống, Con người)</t>
  </si>
  <si>
    <t>Quy trình</t>
  </si>
  <si>
    <t>Hệ Thồng</t>
  </si>
  <si>
    <t>Con Người</t>
  </si>
  <si>
    <t>Các rủi ro của Công ty được phân loại thành các nhóm nào?</t>
  </si>
  <si>
    <t>Tài chính, Chiến lược, Tuân thủ, Hoạt động</t>
  </si>
  <si>
    <t>Tài chính, Tiềm ẩn, Tuân thủ, Hoạt động</t>
  </si>
  <si>
    <t>Chiến lược, Tuân Thủ, Tiềm ẩn, Kiểm soát</t>
  </si>
  <si>
    <t>Tuân thủ, Hoạt động, Chiến lược, Kiểm soát</t>
  </si>
  <si>
    <t>Hãy cho ví dụ về 3 rủi ro an ninh thông tin mà nhân viên văn phòng thường gặp phải khi làm việc hàng ngày?</t>
  </si>
  <si>
    <t>1.Lộ mật khẩu do ghi chú trên giấy hoặc chia sẻ với đồng nghiệp.
2. Mở file đính kèm email lạ có thể chứa mã độc.
3. Kết nối vào mạng WiFi công cộng không bảo mật khi làm việc từ xa.</t>
  </si>
  <si>
    <t>1. Thiếu nhân sự
2. Giá cả nguyên liệu tăng
3. Thay đổi chính sách pháp luật.</t>
  </si>
  <si>
    <t>1. Tấn công DDoS làm sập hệ thống. 
2. Nhân viên không tuân thủ quy trình bảo mật. 
3. Chậm thanh toán lương cho nhân viên.</t>
  </si>
  <si>
    <t>1. Lỗ hổng phần mềm chưa được vá. 
 2. Mất điện đột ngột tại trung tâm dữ liệu. 
3. Giả mạo email lừa đảo (phishing). (Đúng)</t>
  </si>
  <si>
    <t>Hãy liệt kê 3 rủi ro trọng yếu về an ninh thông tin mà một công ty có thể gặp phải:</t>
  </si>
  <si>
    <t>1. Tấn công mạng
2. Rò rỉ dữ liệu
3. Lộ thông tin đăng nhập của người dùng nội bộ</t>
  </si>
  <si>
    <t>1. Mở file đính kèm email lạ có thể chứa mã độc.
2. Kết nối vào mạng WiFi công cộng không bảo mật khi làm việc từ xa.
3. Để quá nhiều file trên Desktop khiến máy tính hoạt động chậm</t>
  </si>
  <si>
    <t>1. Click vào đường link lạ trong email/chat
2. Sử dụng USB không rõ nguồn gốc trên máy tính cá nhân ở nhà
3. Để màn hình máy tính không khóa khi rời khỏi bàn làm việc</t>
  </si>
  <si>
    <t>1. Kết nối WiFi công cộng không dùng VPN
2. Tự ý đi vào trung tâm dữ liệu mà không cần xin phê duyệt
3. Ghi chú mật khẩu vào sổ tay</t>
  </si>
  <si>
    <t>Rủi ro bảo mật là mối đe dọa đến:
(1) Tính bảo mật (Confidentiality)
(2) Tính toàn vẹn (Integrity)
(3) Tính khả dụng (Availability)
(4) Danh tiếng, tài chính, tính tuân thủ pháp luật</t>
  </si>
  <si>
    <t>(1), (2), (3), (4)</t>
  </si>
  <si>
    <t>(1), (2), (3)</t>
  </si>
  <si>
    <t>(1), (3), (4)</t>
  </si>
  <si>
    <t>(2), (3), (4)</t>
  </si>
  <si>
    <t>Theo ý kiến của Anh/Chị, rủi ro nào nên được coi là rủi ro trọng yếu cấp độ Công ty cần được HĐQT/CTHĐQT trực tiếp giám sát, xử lý?</t>
  </si>
  <si>
    <t>Rủi ro thay đổi cơ chế quản lý, điều tiết của Nhà nước</t>
  </si>
  <si>
    <t>Rủi ro thay đổi công nghệ</t>
  </si>
  <si>
    <t xml:space="preserve">Rủi ro quản lý, vận hành </t>
  </si>
  <si>
    <t>Rủi ro thanh toán</t>
  </si>
  <si>
    <t>Bạn sẽ thu thập những loại thông tin nào để đánh giá mức độ ảnh hưởng của một sự cố rò rỉ dữ liệu trong hệ thống nội bộ?</t>
  </si>
  <si>
    <t>Logs hệ thống, mức độ truy cập dữ liệu, loại dữ liệu bị rò rỉ, thời gian bị lộ, phản hồi của người dùng.</t>
  </si>
  <si>
    <t>Xem logs tường lửa, IPS và logs truy cập máy tính của người dùng</t>
  </si>
  <si>
    <t>Tra cứu các sự cố tương tự trên internet để tìm kiếm thông tin tham khảo</t>
  </si>
  <si>
    <t>Trao đổi với người dùng bị ảnh hưởng để dự đoán nguyên nhân dữ liệu bị rò rỉ.</t>
  </si>
  <si>
    <t>Bạn sẽ thu thập và đánh giá thông tin như thế nào để đo lường mức độ rủi ro khi phát hiện một lỗ hổng bảo mật trong hệ thống?</t>
  </si>
  <si>
    <t>Thu thập logs, xem xét phạm vi ảnh hưởng, phân tích khả năng khai thác để đánh giá mức độ rủi ro theo khung quản trị rủi ro đã được ban hành.</t>
  </si>
  <si>
    <t>Tìm kiếm thông tin trên Internet về mức độ nghiêm trọng của lỗ hổng và xử lý theo quy trình quản lý điểm yếu và lỗ hổng bảo mật đã được ban hành.</t>
  </si>
  <si>
    <t>Ước lượng phạm vi ảnh hưởng của lỗ hổng bảo mật để đánh giá rủi ro theo khung quản trị rủi ro đã được ban hành</t>
  </si>
  <si>
    <t>Tính toán mức độ nghiêm trọng của lỗ hổng và giá trị tài sản bị ảnh hưởng bởi lỗ hổng để đánh giá rủi ro theo quy chế quản trị rủi ro đã ban hành.</t>
  </si>
  <si>
    <t>Các thông số/tham số/thang đo của mỗi rủi ro gồm:</t>
  </si>
  <si>
    <t>Cả 3 đáp án</t>
  </si>
  <si>
    <t>Khả năng xảy ra</t>
  </si>
  <si>
    <t>Mức độ tác động</t>
  </si>
  <si>
    <t>Rủi ro còn lại</t>
  </si>
  <si>
    <t>Trong quá trình đánh giá rủi ro từ sai sót của nhà cung cấp, bạn cần thực hiện bước nào đầu tiên?</t>
  </si>
  <si>
    <t>Xác định rủi ro tiềm ẩn liên quan đến nhà cung cấp.</t>
  </si>
  <si>
    <t>So sánh chi phí giữa các nhà cung cấp và lựa chọn đơn vị rẻ nhất.</t>
  </si>
  <si>
    <t>Đánh giá mức độ hài lòng của khách hàng cuối với nhà cung cấp.</t>
  </si>
  <si>
    <t>Yêu cầu nhà cung cấp nộp báo cáo tài chính ba năm gần nhất.</t>
  </si>
  <si>
    <t xml:space="preserve">Trong quá trình đánh giá rủi ro, bước đầu tiên cần thực hiện là gì? 
</t>
  </si>
  <si>
    <t>Xác định bối cảnh (hoặc phạm vi) của đánh giá rủi ro</t>
  </si>
  <si>
    <t>Lập kế hoạch xử lý rủi ro ngay sau khi phát hiện vấn đề</t>
  </si>
  <si>
    <t>Chọn công cụ phần mềm để tính toán chỉ số rủi ro</t>
  </si>
  <si>
    <t>Giao trách nhiệm quản lý rủi ro cho một cá nhân cụ thể</t>
  </si>
  <si>
    <t>Bạn sẽ đề xuất mức độ rủi ro chấp nhận được trong việc cho phép truy cập dữ liệu nhạy cảm qua thiết bị di động như thế nào?</t>
  </si>
  <si>
    <t>Xác định rủi ro cụ thể, phân tích hậu quả, đề xuất giới hạn dựa trên ảnh hưởng hoạt động của Công ty.</t>
  </si>
  <si>
    <t>Khảo sát nhu cầu sử xụng và xử lý theo từng tình huống cụ thể.</t>
  </si>
  <si>
    <t>Cấm hoàn toàn mọi truy cập vì có thể khiến Công ty gặp rủi ro lớn.</t>
  </si>
  <si>
    <t>Chấp nhận toàn bộ truy cập vì quá trình này giúp đẩy nhanh tốc độ xử lý công việc.</t>
  </si>
  <si>
    <t>Các loại kiểm soát để giảm thiểu rủi ro trong doanh nghiệp?</t>
  </si>
  <si>
    <t>Cả 3 đáp án (Kiểm soát ngăn ngừa, Kiểm soát phát hiện, Kiểm soát ứng phó)</t>
  </si>
  <si>
    <t>Kiểm soát ứng phó</t>
  </si>
  <si>
    <t xml:space="preserve">Kiểm soát ngăn ngừa </t>
  </si>
  <si>
    <t>Kiểm soát phát hiện</t>
  </si>
  <si>
    <t>Hãy đề xuất một giải pháp kiểm soát rủi ro cho việc sử dụng thiết bị cá nhân (BYOD) trong công ty.</t>
  </si>
  <si>
    <t>Áp dụng chính sách MDM (Mobile Device Management), mã hóa dữ liệu, và yêu cầu xác thực đa yếu tố.</t>
  </si>
  <si>
    <t>Cho phép nhân viên sử dụng thiết bị cá nhân để truy cập nhưng phải đăng nhập bằng tài khoản trên AD của Công ty.</t>
  </si>
  <si>
    <t>Áp dụng tiêu chí xác thực đa yếu tố trước khi truy cập tài nguyên của Công ty trên các thiết bị cá nhân.</t>
  </si>
  <si>
    <t>Cấm hoàn toàn việc sử dụng thiết bị cá nhân.</t>
  </si>
  <si>
    <t xml:space="preserve">Một công ty trung gian thanh toán triển khai hệ thống AI mới. Kết quả: xử lý nhanh hơn 20%, nhưng tỷ lệ sai thông tin giao dịch cũng tăng, nhân viên thao tác khó khăn. Rủi ro chính là gì? 
(1) Rủi ro thị trường – do phản ứng tiêu cực từ khách hàng
(2) Rủi ro pháp lý – do vi phạm các quy định vận hành giao dịch
(3) Rủi ro vận hành – do thay đổi hệ thống làm giảm hiệu quả kiểm soát và tăng lỗi thao tác
(4) Rủi ro bảo mật – do AI có thể làm lộ thông tin người dùng
</t>
  </si>
  <si>
    <t>(3)</t>
  </si>
  <si>
    <t>(2)</t>
  </si>
  <si>
    <t>(1)</t>
  </si>
  <si>
    <t>(4)</t>
  </si>
  <si>
    <t>Một doanh nghiệp dựa quá nhiều vào một nhà cung cấp duy nhất cho 80% hàng hóa. Điều này có thể dẫn đến loại rủi ro tiên quyết nào?</t>
  </si>
  <si>
    <t>Rủi ro chuỗi cung ứng do thiếu sự đa dạng và tính thay thế về nguồn cung</t>
  </si>
  <si>
    <t>Rủi ro pháp lý do vi phạm hợp đồng nếu nhà cung cấp dừng giao hàng đột ngột</t>
  </si>
  <si>
    <t>Rủi ro tài chính vì chi phí có thể bị đẩy lên nếu không có lựa chọn thay thế</t>
  </si>
  <si>
    <t xml:space="preserve">Rủi ro mất khách hàng vì khách hàng có thể không thích ứng với hàng hóa thay thế
</t>
  </si>
  <si>
    <t>Một doanh nghiệp dựa quá nhiều vào một sản phẩm dịch vụ cốt lõi, chiếm đến 90% doanh thu. Điều này có thể dẫn đến loại rủi ro nào?</t>
  </si>
  <si>
    <t>Rủi ro tập trung hoặc rủi ro kinh doanh
Nếu có sự thay đổi bất lợi về thị trường, công nghệ, pháp lý, hoặc nhu cầu đối với sản phẩm dịch vụ đó, doanh nghiệp sẽ dễ rơi vào khủng hoảng và ảnh hưởng nghiêm trọng đến kết quả kinh doanh, thậm chí khả năng hoạt động liên tục.</t>
  </si>
  <si>
    <t>Rủi ro vận hành phát sinh khi hệ thống công nghệ xử lý đơn hàng gặp trục trặc, dẫn đến gián đoạn quy trình nội bộ và giảm hiệu suất làm việc trong một số phòng ban.</t>
  </si>
  <si>
    <t>Rủi ro tài chính liên quan đến biến động tỷ giá, chi phí nguyên vật liệu tăng cao làm ảnh hưởng đến biên lợi nhuận trong ngắn hạn.</t>
  </si>
  <si>
    <t>Rủi ro tuân thủ do thay đổi trong chính sách kế toán và quy định báo cáo tài chính có thể khiến doanh nghiệp bị kiểm toán lưu ý.</t>
  </si>
  <si>
    <t>Bạn sẽ đề xuất thay đổi mô hình quản trị rủi ro an ninh thông tin hiện tại như thế nào để đáp ứng các rủi ro phát sinh từ AI?</t>
  </si>
  <si>
    <t>Tích hợp phân tích rủi ro AI, thêm quy trình đánh giá thuật toán, huấn luyện chuyên sâu cho đội ngũ phát triển và quản trị.</t>
  </si>
  <si>
    <t>Không thay đổi gì vì mô hình hiện tại được đưa ra để áp dụng cho tất cả hệ thống công nghệ mà AI cũng hoạt động trên các hệ thống công nghệ đó.</t>
  </si>
  <si>
    <t>Giao toàn bộ cho bên thứ ba đánh giá rủi ro định kỳ hàng năm.</t>
  </si>
  <si>
    <t>Cân nhắc loại bỏ AI vì tác dụng đem lại không nhiều trong bối cảnh an ninh thông tin hiện nay mà lại làm phát sinh thêm rủi ro</t>
  </si>
  <si>
    <t>NAPAS có thường xuyên cập nhật các mô hình quản trị rủi ro theo thông lệ quốc tế (ISO,...) hay không?</t>
  </si>
  <si>
    <t>Có, NAPAS thường xuyên cập nhật và tham chiếu các chuẩn mực quốc tế để hoàn thiện hệ thống quản trị rủi ro.</t>
  </si>
  <si>
    <t>Không, vì NAPAS chỉ áp dụng theo các quy định nội bộ và quy định của Ngân hàng Nhà nước mà không cần theo thông lệ quốc tế</t>
  </si>
  <si>
    <t>Có, nhưng chỉ giới hạn ở mảng công nghệ thông tin, không áp dụng cho các rủi ro tài chính hay vận hành</t>
  </si>
  <si>
    <t>Không cần thiết, vì các thông lệ quốc tế thường quá rộng, không phù hợp với đặc thù vận hành tại Việt Nam</t>
  </si>
  <si>
    <t>Trong bối cảnh chuyển đổi số, yếu tố nào sau đây được xem là xu hướng quan trọng trong quản trị rủi ro tương lai?</t>
  </si>
  <si>
    <t>Ứng dụng trí tuệ nhân tạo và dữ liệu lớn để dự báo rủi ro</t>
  </si>
  <si>
    <t>Giảm thiểu sử dụng dữ liệu để tránh rủi ro bảo mật</t>
  </si>
  <si>
    <t>Tăng cường sử dụng cảm tính trong đánh giá rủi ro</t>
  </si>
  <si>
    <t>Chỉ dựa vào báo cáo định kỳ để phát hiện rủi ro</t>
  </si>
  <si>
    <t>Ứng phó với rủi ro: Nhận diện, đánh giá và đưa ra các giải pháp giảm thiểu, phòng ngừa và xử lý rủi ro</t>
  </si>
  <si>
    <t>Bạn sẽ dựa vào dấu hiệu nào để đánh giá một hành vi là có nguy cơ gây rủi ro hay không trong hệ thống thông tin?</t>
  </si>
  <si>
    <t>Tần suất đăng nhập, thay đổi trong cấu hình hệ thống, log truy cập dự liệu vượt quyền</t>
  </si>
  <si>
    <t>Người dùng đăng nhập đúng tài khoản là đủ an toàn.</t>
  </si>
  <si>
    <t>Chỉ cần đảm bảo thiết bị đã được cài phần mềm diệt virus.</t>
  </si>
  <si>
    <t>Bỏ qua nếu người thực hiện là nhân viên lâu năm.</t>
  </si>
  <si>
    <t>Các biện pháp ứng phó với rủi ro thường gặp?</t>
  </si>
  <si>
    <t>Tất cả các đáp án</t>
  </si>
  <si>
    <t>Chấp nhận, Giảm thiểu rủi ro</t>
  </si>
  <si>
    <t>Né tránh, Chuyển giao rủi ro</t>
  </si>
  <si>
    <t>Giảm thiểu rủi ro, Chuyển giao rủi ro</t>
  </si>
  <si>
    <t>Dấu hiệu nào sau đây có thể cho thấy rủi ro vận hành trong hệ thống thanh toán?
1. Tần suất lỗi giao dịch tăng
2. Thời gian xử lý giao dịch chậm
3. Thay đổi chính sách pháp lý từ cơ quan quản lý
4. Sự cố hệ thống
5. Khách hàng thay đổi phương thức thanh toán</t>
  </si>
  <si>
    <t>(1), (2), (4)</t>
  </si>
  <si>
    <t>(2), (3), (5)</t>
  </si>
  <si>
    <t>Khi phát hiện sai lệch nhỏ trong quy trình vận hành, bước đầu tiên cần làm theo quy trình chuẩn là:
(1) Đề xuất ngay biện pháp xử lý thay đổi quy trình kỹ thuật
(2) Báo cáo cấp quản lý và thực hiện điều chỉnh quy trình ngay
(3) Thu thập thông tin và đánh giá nguyên nhân, phạm vi ảnh hưởng
(4) Bỏ qua nếu sai lệch nhỏ không ảnh hưởng đến kết quả cuối cùng</t>
  </si>
  <si>
    <t>Thu thập thông tin và đánh giá nguyên nhân, phạm vi ảnh hưởng</t>
  </si>
  <si>
    <t>Báo cáo cấp quản lý và thực hiện điều chỉnh quy trình ngay</t>
  </si>
  <si>
    <t>Đề xuất ngay biện pháp xử lý thay đổi quy trình kỹ thuật</t>
  </si>
  <si>
    <t>Bỏ qua nếu sai lệch nhỏ không ảnh hưởng đến kết quả cuối cùng</t>
  </si>
  <si>
    <t>Nêu ví dụ một số dấu hiệu cho thấy hệ thống thông tin có thể đang bị tấn công.</t>
  </si>
  <si>
    <t>Tốc độ mạng chậm bất thường, xuất hiện file lạ, hệ thống tự khởi động lại.</t>
  </si>
  <si>
    <t>Máy tính bị nóng khi sử dụng.</t>
  </si>
  <si>
    <t>Màn hình hiển thị màu xanh</t>
  </si>
  <si>
    <t>Không in được văn bản</t>
  </si>
  <si>
    <t>Bạn nhận được thông tin không chính thức rằng một đối tác chiến lược của Napas bị cơ quan chức năng điều tra vi phạm dữ liệu khách hàng. Trong tình huống này, bạn nên thực hiện bước đầu tiên nào?</t>
  </si>
  <si>
    <t>Báo cáo lãnh đạo để tìm thêm nguồn thông tin đáng tin cậy, đồng thời tham mưu việc rà soát hợp đồng hợp tác, điều khoản ràng buộc về pháp lý và bảo mật dữ liệu giữa hai bên.</t>
  </si>
  <si>
    <t>Gửi email yêu cầu các đơn vị tạm ngừng tất cả giao dịch với đối tác</t>
  </si>
  <si>
    <t>Không quan tâm vì đây là tin tức không chính thức</t>
  </si>
  <si>
    <t>Báo cho phòng pháp chế xử lý hoàn toàn, bạn không cần tiếp tục theo dõi</t>
  </si>
  <si>
    <t>Một email lạ được gửi đến toàn bộ nhân viên công ty có chứa đường link dẫn đến trang web giả mạo. Bạn sẽ thực hiện bước nào dưới đây để xác định nguyên nhân của sự việc?</t>
  </si>
  <si>
    <t>Kiểm tra xem có nhân viên nào đã bấm vào liên kết lạ trong email hoặc tải về file đáng ngờ trước đó hay không</t>
  </si>
  <si>
    <t>Báo ngay cho truyền thông nội bộ để cảnh báo toàn bộ người dùng trong Công ty về vụ việc.</t>
  </si>
  <si>
    <t>Yêu cầu toàn bộ nhân viên đổi mật khẩu</t>
  </si>
  <si>
    <t>Gỡ bỏ email khỏi toàn bộ hộp thư đến và xóa vĩnh viễn khỏi máy chủ.</t>
  </si>
  <si>
    <t>Một hệ thống bị gián đoạn 30 phút do lỗi cấu hình tường lửa chặn nhầm luồng dữ liệu hợp lệ. Đâu là cách tiếp cận phù hợp để xác định nguyên nhân và đề xuất khắc phục ở mức cơ bản?</t>
  </si>
  <si>
    <t>Rà soát log hệ thống, xác định thời điểm bắt đầu lỗi, đối chiếu với thay đổi gần nhất trong cấu hình và đề xuất rollback cấu hình.</t>
  </si>
  <si>
    <t>Rollback toàn bộ cấu hình của hệ thống tường lửa ở thời điểm tốt nhất mà bạn nhớ để tránh lỗi tương tự lặp lại.</t>
  </si>
  <si>
    <t>Thử thay đổi ngẫu nhiên các tham số cấu hình để kiểm tra xem hệ thống có hoạt động trở lại hay không.</t>
  </si>
  <si>
    <t>Khôi phục lại cài đặt gốc của thiết bị để đảm bảo các thiết lập không chính xác bị loại bỏ</t>
  </si>
  <si>
    <t>Phương pháp nào sau đây thường được sử dụng để phân tích nguyên nhân gốc rễ của một vấn đề?</t>
  </si>
  <si>
    <t>Sơ đồ xương cá (Fishbone Diagram)</t>
  </si>
  <si>
    <t>Ma trận SWOT</t>
  </si>
  <si>
    <t>Biểu đồ Gantt</t>
  </si>
  <si>
    <t>Biểu đồ Pareto</t>
  </si>
  <si>
    <t>Việc phân tích nguyên nhân giúp tổ chức như thế nào?</t>
  </si>
  <si>
    <t>Cải thiện quy trình và phòng ngừa rủi ro tái diễn</t>
  </si>
  <si>
    <t>Tăng doanh thu ngay lập tức</t>
  </si>
  <si>
    <t>Xác định trách nhiệm cá nhân</t>
  </si>
  <si>
    <t>Giảm số lượng nhân viên cần thiết</t>
  </si>
  <si>
    <t>Khi phát hiện hệ thống bị xâm nhập, bạn hãy nêu một số yếu tố cần xem xét để xác định nguyên nhân?</t>
  </si>
  <si>
    <t>Xem log hệ thống, kiểm tra lịch sử truy cập, phân tích điểm yếu trong cấu hình bảo mật.</t>
  </si>
  <si>
    <t>Kiểm tra lại phần mềm diệt virus đang sử dụng và khởi động lại hệ thống</t>
  </si>
  <si>
    <t>Liên hệ nhà cung cấp để yêu cầu bản vá lỗi mới nhất, đồng thời xóa mọi tài khoản người dùng chưa đăng nhập 30 ngày.</t>
  </si>
  <si>
    <t>Chặn toàn bộ kết nối đến hệ thống bị xâm nhập trên tường lửa để tránh cuộc tấn công lan rộng.</t>
  </si>
  <si>
    <t>Khi phát hiện rủi ro bảo mật trong hệ thống CNTT, nhưng việc khắc phục có thể làm gián đoạn hoạt động kinh doanh. Bạn nên làm gì?</t>
  </si>
  <si>
    <t>Chuyển trách nhiệm cho bộ phận IT mà không can thiệp</t>
  </si>
  <si>
    <t>Tạm dừng toàn bộ hệ thống để xử lý ngay</t>
  </si>
  <si>
    <t>Bỏ qua rủi ro vì chưa có sự cố xảy ra</t>
  </si>
  <si>
    <t>Đánh giá mức độ rủi ro và lên kế hoạch xử lý theo từng giai đoạn để giảm thiểu gián đoạn</t>
  </si>
  <si>
    <t>Một đối tác chiến lược yêu cầu truy cập trực tiếp vào hệ thống dữ liệu giao dịch để tích hợp dịch vụ, trong khi phòng An toàn thông tin cảnh báo rằng yêu cầu này tiềm ẩn rủi ro rò rỉ thông tin khách hàng. Là người phụ trách quản lý rủi ro, bạn sẽ lựa chọn phương án nào để cân bằng giữa yêu cầu tích hợp và đảm bảo an toàn thông tin?</t>
  </si>
  <si>
    <t>Đề xuất phương án cung cấp dữ liệu đã được mask hoặc truy cập qua API giới hạn phạm vi, có cơ chế giám sát.</t>
  </si>
  <si>
    <t>Cho phép truy cập đầy đủ nhưng yêu cầu ký NDA trong đó đối tác cam kết không làm rò rỉ dữ liệu.</t>
  </si>
  <si>
    <t xml:space="preserve">Cho phép truy cập trực tiếp, nhưng yêu cầu đối tác ký cam kết bảo mật và có đại diện kỹ thuật của công ty giám sát. </t>
  </si>
  <si>
    <t>Chấp thuận truy cập tạm thời và yêu cầu đối tác chịu hoàn toàn trách nhiệm nếu xảy ra sự cố.</t>
  </si>
  <si>
    <t>Một hệ thống xử lý giao dịch bị treo đột ngột trong giờ cao điểm, ảnh hưởng tới 40% giao dịch. Giải pháp nào dưới đây vừa đảm bảo duy trì dịch vụ, vừa hạn chế tổn thất pháp lý và uy tín?</t>
  </si>
  <si>
    <t>Kích hoạt quy trình khẩn cấp: phối hợp đa phòng ban (IT, kỹ thuật, pháp chế, dịch vụ khách hàng), phân loại lỗi, thực hiện xử lý tạm thời có kiểm soát và cập nhật thông báo tới ngân hàng.</t>
  </si>
  <si>
    <t>Tạm dừng toàn bộ giao dịch để điều tra nguyên nhân, đảm bảo không phát sinh thêm lỗi.</t>
  </si>
  <si>
    <t>Kích hoạt hệ thống dự phòng để xử lý toàn bộ giao dịch chưa hoàn tất, song song tiếp tục theo dõi.</t>
  </si>
  <si>
    <t>Chuyển toàn bộ lỗi cho bộ phận IT khắc phục, các phòng khác chờ kết quả điều tra.</t>
  </si>
  <si>
    <t>Nhà thầu tiết lộ thông tin trong hợp đồng thuê tư vấn phát triển phần mềm cho dịch vụ mới của NAPAS.  Giải pháp nào dưới đây vừa đảm bảo việc thực hiện hợp đồng, vừa hạn chế tổn thất cho NAPAS?</t>
  </si>
  <si>
    <t>Kích hoạt điều khoản bảo mật hợp đồng, đánh giá mức độ rò rỉ và tác động, kiểm soát việc tiếp tục hợp tác với nhà thầu, tăng cường giám sát và biện pháp bảo mật, đồng thời truyền thông nội bộ và quản trị khủng hoảng nếu cần thiết.</t>
  </si>
  <si>
    <t xml:space="preserve">Ngay lập tức chấm dứt hợp đồng với nhà thầu, dừng toàn bộ dự án để rà soát lại quy trình nội bộ và khởi kiện nhà thầu ra tòa nhằm làm rõ trách nhiệm pháp lý và yêu cầu bồi thường thiệt hại.
</t>
  </si>
  <si>
    <t>Tạm thời đình chỉ toàn bộ quyền truy cập hệ thống của nhà thầu và yêu cầu các đơn vị nội bộ không trao đổi thêm thông tin nào cho đến khi có kết luận điều tra nội bộ chính thức từ bộ phận pháp chế.</t>
  </si>
  <si>
    <t>Tiếp tục triển khai hợp đồng như bình thường vì việc tiết lộ thông tin chưa gây hậu quả trực tiếp, đồng thời đưa ra cảnh báo miệng để răn đe và theo dõi hành vi nhà thầu trong các giai đoạn tiếp theo.</t>
  </si>
  <si>
    <t>Hãy cho ví dụ về thiết kế một hệ thống cảnh báo sớm cho các rủi ro an ninh thông tin dựa trên AI?</t>
  </si>
  <si>
    <t>Tích hợp AI phân tích hành vi người dùng kết hợp với TI và tích hợp vào hệ thống SIEM để phát hiện các dấu hiệu bất thường và tự động gửi cảnh báo.</t>
  </si>
  <si>
    <t>Phát triển mô hình ML dựa trên dữ liệu lịch sử  12 tháng gần nhất, sử dụng thuật toán Random Forest với tập features cố định và ưu tiên xây dựng kho lưu trữ logs tập trung.</t>
  </si>
  <si>
    <t>Sử dụng AI để thiết kế rule-based detection, áp dụng ngưỡng cảnh báocho mọi loại thiết bị và phân loại cảnh báo theo mức độ ưu tiên dựa trên số lượng cảnh báo.</t>
  </si>
  <si>
    <t>Xây dựng hệ thống lượng tử để phân tích toàn bộ lưu lượng mạng trong mỗi giây, sử dụng mô hình AI để rà soát và cảnh báo các cuộc tấn công.</t>
  </si>
  <si>
    <t>Một công ty cung cấp dịch vụ tài chính đang phải đối mặt với việc chậm tiến độ triển khai sản phẩm mới do yêu cầu bổ sung kiểm soát an toàn dữ liệu. Nếu vẫn tiếp tục theo đúng tiêu chuẩn an toàn, kế hoạch ra mắt sẽ chậm hơn hai tháng, ảnh hưởng tới mục tiêu chiếm lĩnh thị phần đầu năm. Giải pháp nào đáp ứng được cả mục tiêu an toàn lẫn mục tiêu chiến lược?</t>
  </si>
  <si>
    <t>Đánh giá rủi ro dữ liệu, phân loại yêu cầu kiểm soát theo mức độ ưu tiên, phối hợp với các bên liên quan để xây dựng lộ trình phát hành từng giai đoạn – vừa đảm bảo tiêu chuẩn an toàn cốt lõi, vừa rút ngắn thời gian ra mắt sản phẩm.</t>
  </si>
  <si>
    <t xml:space="preserve">Dừng toàn bộ quá trình phát triển sản phẩm để rà soát lại toàn bộ hệ thống kiểm soát an toàn dữ liệu, chỉ tiếp tục khi tất cả yêu cầu bảo mật đều được triển khai đầy đủ, bất kể thời điểm ra mắt bị chậm bao lâu.
</t>
  </si>
  <si>
    <t xml:space="preserve">Tạm bỏ qua các tiêu chuẩn an toàn trong giai đoạn đầu để ưu tiên ra mắt sản phẩm đúng tiến độ, sau đó cập nhật bổ sung kiểm soát bảo mật theo hình thức vá lỗi hoặc nâng cấp phần mềm định kỳ.
</t>
  </si>
  <si>
    <t>Chuyển giao toàn bộ trách nhiệm kiểm soát an toàn dữ liệu cho nhà cung cấp hạ tầng kỹ thuật và yêu cầu họ cam kết chịu trách nhiệm nếu có vi phạm, trong khi nội bộ tập trung tối đa vào kế hoạch marketing và tăng trưởng thị phần.</t>
  </si>
  <si>
    <t>Một doanh nghiệp phát hiện nguy cơ mất dữ liệu khách hàng nếu tiếp tục sử dụng hệ thống lưu trữ hiện tại, nhưng ngân sách chuyển đổi hệ thống còn hạn chế. Phương án nào là cách ứng phó rủi ro phù hợp và cân bằng lợi ích?</t>
  </si>
  <si>
    <t>Đánh giá lại mức độ rủi ro và giá trị dữ liệu, áp dụng biện pháp giảm thiểu tạm thời như mã hóa, sao lưu, kiểm soát truy cập; đồng thời xây dựng lộ trình chuyển đổi hệ thống theo từng giai đoạn phù hợp ngân sách để vừa bảo vệ dữ liệu trước mắt, vừa đảm bảo chuyển đổi bền vững.</t>
  </si>
  <si>
    <t>Dừng toàn bộ việc sử dụng hệ thống hiện tại ngay lập tức và chờ đến khi có đủ ngân sách để thay thế hoàn toàn bằng hệ thống mới nhằm tránh mọi rủi ro phát sinh, bất kể thời gian gián đoạn kéo dài bao lâu.</t>
  </si>
  <si>
    <t>Tạm thời bỏ qua cảnh báo rủi ro do chưa có sự cố nghiêm trọng xảy ra, tiếp tục vận hành như cũ cho đến khi có kế hoạch ngân sách đầy đủ và triển khai chuyển đổi hệ thống toàn diện sau.</t>
  </si>
  <si>
    <t>Chuyển giao toàn bộ dữ liệu cho một bên cung cấp lưu trữ bên ngoài có giá rẻ hơn, không cần đánh giá sâu về rủi ro hay biện pháp kiểm soát tạm thời, nhằm tiết kiệm chi phí trước mắt và đẩy nhanh tiến độ.</t>
  </si>
  <si>
    <t>Một hệ thống cảnh báo rủi ro hiệu quả cần có khả năng nào sau đây?</t>
  </si>
  <si>
    <t>Phân tích dữ liệu đầu vào để đưa ra cảnh báo sớm, đúng thời điểm và đúng đối tượng</t>
  </si>
  <si>
    <t>Cảnh báo càng nhiều càng tốt để tránh bỏ sót</t>
  </si>
  <si>
    <t>Chỉ cảnh báo khi rủi ro đã xảy ra</t>
  </si>
  <si>
    <t>Cảnh báo theo lịch định kỳ, không cần theo thời gian thực</t>
  </si>
  <si>
    <t>Kiểm soát và phòng ngừa rủi ro để đảm bảo sự hoạt động liên tục: Phân tích và đưa ra các dự báo sớm về các rủi ro có thể xảy ra</t>
  </si>
  <si>
    <t>Khi nhận thấy có dấu hiệu rủi ro liên quan đến công việc được giao, bước đầu tiên nên làm là gì?</t>
  </si>
  <si>
    <t>Kiểm tra lại thông tin, làm rõ dữ kiện và đối chiếu với quy trình xử lý rủi ro hiện hành.</t>
  </si>
  <si>
    <t>Gửi cảnh báo khẩn cấp đến tất cả các đơn vị liên quan.</t>
  </si>
  <si>
    <t>Tạm dừng toàn bộ hoạt động liên quan đến công việc để tránh rủi ro lan rộng.</t>
  </si>
  <si>
    <t>Lập tức báo cáo lãnh đạo cấp cao để xin ý kiến xử lý.</t>
  </si>
  <si>
    <t>Khi phát hiện một file đáng ngờ trong hệ thống công ty, bạn sẽ làm gì đầu tiên để xử lý rủi ro an ninh thông tin?</t>
  </si>
  <si>
    <t>Báo cáo ngay cho phòng An toàn thông tin để xác minh và có hướng dẫn cụ thể</t>
  </si>
  <si>
    <t>Mở file ra kiểm tra nội dung để xem có gì bất thường</t>
  </si>
  <si>
    <t>Gửi file đó qua email cho đồng nghiệp nhờ họ tư vấn</t>
  </si>
  <si>
    <t>Lưu file vào USB cá nhân để phân tích sau khi về nhà</t>
  </si>
  <si>
    <t>Nêu các bước cơ bản trong quy trình xử lý sự cố rò rỉ dữ liệu.</t>
  </si>
  <si>
    <t>Cô lập hệ thống, đánh giá thiệt hại, thông báo cho bộ phận liên quan, khắc phục và báo cáo.</t>
  </si>
  <si>
    <t>Báo cáo sự cố cho phòng An toàn thông tin</t>
  </si>
  <si>
    <t>Tắt toàn bộ hệ thống để tránh lỗi lan rộng.</t>
  </si>
  <si>
    <t>Tìm người chịu trách nhiệm cho sự cố này để yêu cầu khắc phục.</t>
  </si>
  <si>
    <t>Quy trình xử lý rủi ro thông thường bao gồm các bước:</t>
  </si>
  <si>
    <t>Xác định rủi ro → Phân tích rủi ro → Đánh giá tác động → Đề xuất biện pháp xử lý và giám sát</t>
  </si>
  <si>
    <t>Phát hiện rủi ro → Xử lý rủi ro → Báo cáo cho Ban lãnh đạo</t>
  </si>
  <si>
    <t>Phân tích rủi ro → Tìm kiếm giải pháp → Đề xuất thưởng</t>
  </si>
  <si>
    <t>Truy cứu trách nhiệm → Cảnh báo rủi ro → Tạm dừng công việc</t>
  </si>
  <si>
    <t>Bạn phát hiện bộ phận vận hành đang thực hiện một quy trình sai lệch so với quy chuẩn, có thể dẫn đến sai sót nghiêm trọng về dữ liệu trong quá trình tổng hợp báo cáo. Hành động nào dưới đây là phù hợp nhất để cảnh báo và xử lý kịp thời rủi ro?</t>
  </si>
  <si>
    <t>Chủ động trao đổi với bộ phận vận hành để làm rõ rủi ro, giải thích hậu quả có thể xảy ra, và phối hợp điều chỉnh quy trình theo đúng quy định</t>
  </si>
  <si>
    <t>Gửi email cảnh báo chung cho toàn bộ công ty để tránh sai sót tương tự</t>
  </si>
  <si>
    <t>Báo cáo sự việc lên cấp trên và đề xuất xử lý nội bộ sau khi hoàn tất báo cáo</t>
  </si>
  <si>
    <t>Ghi nhận sự việc vào nhật ký công việc và theo dõi thêm trong các kỳ báo cáo sau</t>
  </si>
  <si>
    <t>Bạn phát hiện một nhóm kinh doanh lưu trữ thông tin khách hàng cá nhân trên thiết bị cá nhân để thuận tiện cho công việc. Cách xử lý nào sau đây thể hiện kỹ năng cảnh báo rủi ro ở mức cơ bản?</t>
  </si>
  <si>
    <t>Trao đổi với nhóm đó và giải thích rằng việc này có thể khiến dữ liệu bị rò rỉ nếu thiết bị cá nhân bị mất hoặc nhiễm mã độc.</t>
  </si>
  <si>
    <t>Đề nghị nhóm đó xoá toàn bộ dữ liệu ngay lập tức mà không cần giải thích lý do.</t>
  </si>
  <si>
    <t>Báo cáo sự việc lên cấp trên để xử lý vi phạm theo quy định của Công ty.</t>
  </si>
  <si>
    <t>Cài phần mềm diệt virus lên thiết bị cá nhân của họ để giảm thiểu nguy cơ.</t>
  </si>
  <si>
    <t>Bạn phát hiện một biểu mẫu đang sử dụng không còn phù hợp với quy định mới. Bạn nên làm gì?</t>
  </si>
  <si>
    <t>Tư vấn cập nhật biểu mẫu theo quy định mới và phối hợp với các bên liên quan để áp dụng thống nhất</t>
  </si>
  <si>
    <t>Tiếp tục sử dụng vì chưa có hướng dẫn thay thế</t>
  </si>
  <si>
    <t>Tự chỉnh sửa biểu mẫu theo ý mình</t>
  </si>
  <si>
    <t>Chờ đến kỳ rà soát định kỳ để đề xuất</t>
  </si>
  <si>
    <t>Bạn phát hiện trong quy trình mã hóa dữ liệu nhạy cảm tại Công ty, khóa mã hóa được lưu trữ cùng với dữ liệu trong cùng một hệ thống mà không có lớp bảo vệ riêng biệt. Tư vấn đúng nhất để hạn chế rủi ro bảo mật trong trường hợp này là gì?</t>
  </si>
  <si>
    <t>Phân tách lưu trữ khóa mã hóa và dữ liệu, sử dụng hệ thống quản lý khóa chuyên biệt (Key Management System – KMS) với các biện pháp bảo vệ nghiêm ngặt như phân quyền truy cập, ghi nhận nhật ký truy cập.</t>
  </si>
  <si>
    <t>Mã hóa toàn bộ dữ liệu bằng các thuật toán phức tạp hơn và ấn định thời gian thay đổi khoá là 15 năm để đảm bảo an toàn</t>
  </si>
  <si>
    <t xml:space="preserve">Lưu trữ khóa mã hóa dưới dạng mã hóa thêm một lớp nữa trong cùng hệ thống lưu trữ để đảm bảo an toàn </t>
  </si>
  <si>
    <t>Tiếp tục lưu trữ khóa và dữ liệu cùng nơi để thuận tiện cho việc truy xuất và giảm thiểu độ phức tạp trong vận hành.</t>
  </si>
  <si>
    <t>Một quy trình nội bộ mới được ban hành nhưng chưa được phổ biến rộng rãi. Bạn phát hiện một bộ phận vẫn làm theo quy trình cũ. Bạn nên làm gì?</t>
  </si>
  <si>
    <t>Chủ động trao đổi, giải thích rủi ro và hỗ trợ bộ phận cập nhật quy trình mới</t>
  </si>
  <si>
    <t>Chờ bộ phận phát hiện sai sót và tự điều chỉnh vì việc cập nhật quy trình là trách nhiệm của chính họ</t>
  </si>
  <si>
    <t>Báo cáo ngay lên cấp trên để xử lý trách nhiệm của bộ phận chưa tuân thủ quy trình mới</t>
  </si>
  <si>
    <t>Tiếp tục phối hợp theo quy trình cũ để tránh làm gián đoạn công việc chung của cả hai bên</t>
  </si>
  <si>
    <t>Trong giai đoạn thiết kế hệ thống, bạn phát hiện kiến trúc xác thực hiện tại sử dụng username và password mà không có cơ chế kiểm soát truy cập chi tiết (fine-grained access control). Theo bạn, đâu là giải pháp tư vấn tối ưu để giảm thiểu rủi ro bảo mật cho hệ thống?</t>
  </si>
  <si>
    <t>Đề xuất bổ sung xác thực đa yếu tố (Multi-Factor Authentication – MFA) kết hợp với phân quyền chi tiết dựa trên vai trò (Role-Based Access Control – RBAC) hoặc nguyên tắc tối thiểu quyền (Least Privilege Principle).</t>
  </si>
  <si>
    <t>Giữ nguyên mô hình hiện tại vì việc thêm các yếu tố xác thực và kiểm soát truy cập phức tạp sẽ làm tăng độ trễ và giảm trải nghiệm người dùng.</t>
  </si>
  <si>
    <t>Áp dụng các biện pháp mã hóa dữ liệu đầu cuối (end-to-end encryption) thay vì thay đổi cơ chế xác thực hoặc kiểm soát truy cập vì mã hóa sẽ đảm bảo an toàn dữ liệu.</t>
  </si>
  <si>
    <t>Tăng cường kiểm soát truy cập chi tiết và yêu cầu sử dụng phương thức mã hoá mạnh để mã hoá mật khẩu của người dùng.</t>
  </si>
  <si>
    <t>Khi xây dựng hệ thống kiểm soát rủi ro, việc xác định “ngưỡng chấp nhận rủi ro” giúp điều gì sau đây?</t>
  </si>
  <si>
    <t>Xác định mức độ rủi ro có thể chấp nhận được trước khi cần hành động</t>
  </si>
  <si>
    <t>Giúp loại bỏ hoàn toàn các rủi ro trong quá trình vận hành hệ thống</t>
  </si>
  <si>
    <t>Dùng để xác định các chỉ tiêu tài chính cho toàn bộ doanh nghiệp</t>
  </si>
  <si>
    <t>Đảm bảo mọi hoạt động đều nằm trong vùng an toàn tuyệt đối</t>
  </si>
  <si>
    <t>Yếu tố quan trọng nhất trong việc xây dựng hệ thống kiểm soát rủi ro dài hạn là gì?</t>
  </si>
  <si>
    <t>Xây dựng tiêu chí đo lường và ngưỡng chấp nhận rủi ro phù hợp</t>
  </si>
  <si>
    <t>Lập quy trình xử lý vi phạm</t>
  </si>
  <si>
    <t>Cắt giảm số lượng kiểm tra</t>
  </si>
  <si>
    <t>Đưa mọi việc về phòng Pháp chế</t>
  </si>
  <si>
    <t xml:space="preserve">Các phương pháp nhận diện, đánh giá rủi ro tại NAPAS là gì?
1. Quy trình
2. Hệ thống
3. Con người
</t>
  </si>
  <si>
    <t>Cả 3 phương án</t>
  </si>
  <si>
    <t>Phương án 1</t>
  </si>
  <si>
    <t>Phương án 2</t>
  </si>
  <si>
    <t>Phương án 3</t>
  </si>
  <si>
    <t xml:space="preserve">Các thông số/tham số/thang đo của mỗi rủi ro gồm:
1. Khả năng xảy ra
2. Mức độ tác động
3. Rủi ro còn lại </t>
  </si>
  <si>
    <t>Các loại kiểm soát để giảm thiểu rủi ro trong doanh nghiệp?
1. Kiểm soát ứng phó
2. Kiểm soát ngăn ngừa
3. Kiểm soát phát hiện</t>
  </si>
  <si>
    <t>Các biện pháp ứng phó với rủi ro thường gặp?
1. Chấp nhận, Giảm thiểu rủi ro
2. Né tránh, Chuyển giao rủi ro
3. Giảm thiểu rủi ro, Chuyển giao rủi 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</si>
</sst>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b/>
      <sz val="10"/>
      <color theme="1"/>
      <name val="Arial"/>
      <family val="2"/>
    </font>
    <font>
      <sz val="10"/>
      <color rgb="FF000000"/>
      <name val="Arial"/>
      <family val="2"/>
    </font>
    <font>
      <sz val="11"/>
      <color theme="1"/>
      <name val="Arial"/>
      <family val="2"/>
    </font>
    <font>
      <sz val="10"/>
      <color theme="1"/>
      <name val="Arial"/>
      <family val="2"/>
    </font>
    <font>
      <sz val="10"/>
      <name val="Arial"/>
      <family val="2"/>
    </font>
    <font>
      <b/>
      <sz val="10"/>
      <color theme="0"/>
      <name val="Arial"/>
      <family val="2"/>
    </font>
    <font>
      <i/>
      <sz val="9"/>
      <color theme="1"/>
      <name val="Arial"/>
      <family val="2"/>
    </font>
    <font>
      <b/>
      <sz val="16"/>
      <color theme="1"/>
      <name val="Arial"/>
      <family val="2"/>
    </font>
    <font>
      <b/>
      <sz val="11"/>
      <color theme="1"/>
      <name val="Arial"/>
      <family val="2"/>
    </font>
    <font>
      <b/>
      <sz val="11"/>
      <color theme="0"/>
      <name val="Arial"/>
      <family val="2"/>
    </font>
    <font>
      <i/>
      <sz val="10"/>
      <color theme="1"/>
      <name val="Arial"/>
      <family val="2"/>
    </font>
  </fonts>
  <fills count="11">
    <fill>
      <patternFill patternType="none"/>
    </fill>
    <fill>
      <patternFill patternType="gray125"/>
    </fill>
    <fill>
      <patternFill patternType="solid">
        <fgColor theme="0" tint="-4.9989318521683403E-2"/>
        <bgColor indexed="64"/>
      </patternFill>
    </fill>
    <fill>
      <patternFill patternType="solid">
        <fgColor theme="3" tint="9.9978637043366805E-2"/>
        <bgColor indexed="64"/>
      </patternFill>
    </fill>
    <fill>
      <patternFill patternType="solid">
        <fgColor theme="5" tint="-0.499984740745262"/>
        <bgColor indexed="64"/>
      </patternFill>
    </fill>
    <fill>
      <patternFill patternType="solid">
        <fgColor theme="5" tint="0.79998168889431442"/>
        <bgColor indexed="64"/>
      </patternFill>
    </fill>
    <fill>
      <patternFill patternType="solid">
        <fgColor theme="1" tint="0.499984740745262"/>
        <bgColor indexed="64"/>
      </patternFill>
    </fill>
    <fill>
      <patternFill patternType="solid">
        <fgColor theme="1" tint="0.34998626667073579"/>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rgb="FFFFFF00"/>
        <bgColor indexed="64"/>
      </patternFill>
    </fill>
  </fills>
  <borders count="3">
    <border>
      <left/>
      <right/>
      <top/>
      <bottom/>
      <diagonal/>
    </border>
    <border>
      <left style="thin">
        <color theme="2" tint="-0.249977111117893"/>
      </left>
      <right style="thin">
        <color theme="2" tint="-0.249977111117893"/>
      </right>
      <top style="thin">
        <color theme="2" tint="-0.249977111117893"/>
      </top>
      <bottom style="thin">
        <color theme="2" tint="-0.249977111117893"/>
      </bottom>
      <diagonal/>
    </border>
    <border diagonalDown="1">
      <left style="thin">
        <color theme="2" tint="-0.249977111117893"/>
      </left>
      <right style="thin">
        <color theme="2" tint="-0.249977111117893"/>
      </right>
      <top style="thin">
        <color theme="2" tint="-0.249977111117893"/>
      </top>
      <bottom style="thin">
        <color theme="2" tint="-0.249977111117893"/>
      </bottom>
      <diagonal style="thin">
        <color theme="2" tint="-0.249977111117893"/>
      </diagonal>
    </border>
  </borders>
  <cellStyleXfs count="2">
    <xf numFmtId="0" fontId="0" fillId="0" borderId="0"/>
    <xf numFmtId="0" fontId="2" fillId="0" borderId="0"/>
  </cellStyleXfs>
  <cellXfs count="31">
    <xf numFmtId="0" fontId="0" fillId="0" borderId="0" xfId="0"/>
    <xf numFmtId="0" fontId="4" fillId="0" borderId="1" xfId="0" applyFont="1" applyBorder="1" applyAlignment="1">
      <alignment horizontal="center" vertical="top"/>
    </xf>
    <xf numFmtId="0" fontId="4" fillId="0" borderId="1" xfId="0" applyFont="1" applyBorder="1" applyAlignment="1">
      <alignment horizontal="center" vertical="top" wrapText="1"/>
    </xf>
    <xf numFmtId="0" fontId="4" fillId="0" borderId="1" xfId="0" applyFont="1" applyBorder="1" applyAlignment="1">
      <alignment vertical="top" wrapText="1"/>
    </xf>
    <xf numFmtId="0" fontId="7" fillId="0" borderId="1" xfId="0" quotePrefix="1" applyFont="1" applyBorder="1" applyAlignment="1">
      <alignment horizontal="center" vertical="top" wrapText="1"/>
    </xf>
    <xf numFmtId="0" fontId="4" fillId="5" borderId="1" xfId="0" applyFont="1" applyFill="1" applyBorder="1" applyAlignment="1">
      <alignment vertical="top" wrapText="1"/>
    </xf>
    <xf numFmtId="0" fontId="6" fillId="6" borderId="1" xfId="0" applyFont="1" applyFill="1" applyBorder="1" applyAlignment="1">
      <alignment horizontal="center" vertical="top" wrapText="1"/>
    </xf>
    <xf numFmtId="0" fontId="4" fillId="0" borderId="1" xfId="0" quotePrefix="1" applyFont="1" applyBorder="1" applyAlignment="1">
      <alignment vertical="top" wrapText="1"/>
    </xf>
    <xf numFmtId="0" fontId="5" fillId="0" borderId="1" xfId="1" applyFont="1" applyBorder="1" applyAlignment="1" applyProtection="1">
      <alignment horizontal="left" vertical="top" wrapText="1"/>
      <protection locked="0"/>
    </xf>
    <xf numFmtId="0" fontId="4" fillId="8" borderId="1" xfId="0" quotePrefix="1" applyFont="1" applyFill="1" applyBorder="1" applyAlignment="1">
      <alignment vertical="top" wrapText="1"/>
    </xf>
    <xf numFmtId="0" fontId="4" fillId="8" borderId="1" xfId="0" applyFont="1" applyFill="1" applyBorder="1" applyAlignment="1">
      <alignment vertical="top" wrapText="1"/>
    </xf>
    <xf numFmtId="0" fontId="5" fillId="8" borderId="1" xfId="1" applyFont="1" applyFill="1" applyBorder="1" applyAlignment="1" applyProtection="1">
      <alignment horizontal="left" vertical="top" wrapText="1"/>
      <protection locked="0"/>
    </xf>
    <xf numFmtId="0" fontId="3" fillId="0" borderId="0" xfId="0" applyFont="1" applyAlignment="1">
      <alignment horizontal="center" vertical="top"/>
    </xf>
    <xf numFmtId="0" fontId="3" fillId="0" borderId="0" xfId="0" applyFont="1" applyAlignment="1">
      <alignment vertical="top"/>
    </xf>
    <xf numFmtId="0" fontId="8" fillId="0" borderId="0" xfId="0" applyFont="1" applyAlignment="1">
      <alignment horizontal="left" vertical="top"/>
    </xf>
    <xf numFmtId="0" fontId="7" fillId="0" borderId="0" xfId="0" applyFont="1" applyAlignment="1">
      <alignment vertical="top"/>
    </xf>
    <xf numFmtId="0" fontId="10" fillId="3" borderId="1" xfId="0" applyFont="1" applyFill="1" applyBorder="1" applyAlignment="1">
      <alignment horizontal="center" vertical="center" wrapText="1"/>
    </xf>
    <xf numFmtId="0" fontId="9" fillId="9" borderId="1" xfId="0" applyFont="1" applyFill="1" applyBorder="1" applyAlignment="1">
      <alignment horizontal="center" vertical="center"/>
    </xf>
    <xf numFmtId="0" fontId="6" fillId="3" borderId="2" xfId="0" applyFont="1" applyFill="1" applyBorder="1" applyAlignment="1">
      <alignment vertical="top" wrapText="1"/>
    </xf>
    <xf numFmtId="0" fontId="6" fillId="3"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4" fillId="0" borderId="1" xfId="0" applyFont="1" applyBorder="1" applyAlignment="1">
      <alignment horizontal="center" vertical="center"/>
    </xf>
    <xf numFmtId="0" fontId="11" fillId="0" borderId="1" xfId="0" quotePrefix="1" applyFont="1" applyBorder="1" applyAlignment="1">
      <alignment horizontal="center" vertical="top" wrapText="1"/>
    </xf>
    <xf numFmtId="0" fontId="4" fillId="10" borderId="1" xfId="0" applyFont="1" applyFill="1" applyBorder="1" applyAlignment="1">
      <alignment horizontal="center" vertical="top"/>
    </xf>
    <xf numFmtId="0" fontId="4" fillId="10" borderId="1" xfId="0" applyFont="1" applyFill="1" applyBorder="1" applyAlignment="1">
      <alignment horizontal="center" vertical="top" wrapText="1"/>
    </xf>
    <xf numFmtId="0" fontId="4" fillId="10" borderId="1" xfId="0" applyFont="1" applyFill="1" applyBorder="1" applyAlignment="1">
      <alignment vertical="top" wrapText="1"/>
    </xf>
    <xf numFmtId="0" fontId="5" fillId="10" borderId="1" xfId="1" applyFont="1" applyFill="1" applyBorder="1" applyAlignment="1" applyProtection="1">
      <alignment horizontal="left" vertical="top" wrapText="1"/>
      <protection locked="0"/>
    </xf>
    <xf numFmtId="0" fontId="3" fillId="10" borderId="0" xfId="0" applyFont="1" applyFill="1" applyAlignment="1">
      <alignment vertical="top"/>
    </xf>
    <xf numFmtId="0" fontId="6" fillId="4" borderId="1" xfId="0" applyFont="1" applyFill="1" applyBorder="1" applyAlignment="1">
      <alignment horizontal="center" vertical="top" wrapText="1"/>
    </xf>
    <xf numFmtId="0" fontId="6" fillId="7" borderId="1" xfId="0" applyFont="1" applyFill="1" applyBorder="1" applyAlignment="1">
      <alignment horizontal="center" vertical="top" wrapText="1"/>
    </xf>
    <xf numFmtId="0" fontId="6" fillId="3" borderId="1" xfId="0" applyFont="1" applyFill="1" applyBorder="1" applyAlignment="1">
      <alignment horizontal="center" vertical="top" wrapText="1"/>
    </xf>
  </cellXfs>
  <cellStyles count="2">
    <cellStyle name="Normal" xfId="0" builtinId="0"/>
    <cellStyle name="Normal 2" xfId="1" xr:uid="{17F16F5E-965D-40AC-9573-37F3BFECD5A9}"/>
  </cellStyles>
  <dxfs count="2">
    <dxf>
      <fill>
        <patternFill>
          <bgColor rgb="FFFCF0B2"/>
        </patternFill>
      </fill>
    </dxf>
    <dxf>
      <fill>
        <patternFill>
          <bgColor rgb="FFFCF0B2"/>
        </patternFill>
      </fill>
    </dxf>
  </dxfs>
  <tableStyles count="0" defaultTableStyle="TableStyleMedium2" defaultPivotStyle="PivotStyleLight16"/>
  <colors>
    <mruColors>
      <color rgb="FFFCF0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5C0B0-9D89-4729-AC6E-7F1010ED0730}">
  <dimension ref="B2:J73"/>
  <sheetViews>
    <sheetView showGridLines="0" zoomScale="70" zoomScaleNormal="70" workbookViewId="0">
      <selection activeCell="G56" sqref="G56"/>
    </sheetView>
  </sheetViews>
  <sheetFormatPr defaultColWidth="9.140625" defaultRowHeight="14.25" outlineLevelRow="1" x14ac:dyDescent="0.25"/>
  <cols>
    <col min="1" max="1" width="2.85546875" style="13" customWidth="1"/>
    <col min="2" max="2" width="7.85546875" style="12" customWidth="1"/>
    <col min="3" max="3" width="9.140625" style="12"/>
    <col min="4" max="4" width="23.42578125" style="13" customWidth="1"/>
    <col min="5" max="5" width="9.140625" style="12"/>
    <col min="6" max="10" width="45.5703125" style="13" customWidth="1"/>
    <col min="11" max="11" width="9.140625" style="13"/>
    <col min="12" max="12" width="12.5703125" style="13" customWidth="1"/>
    <col min="13" max="16384" width="9.140625" style="13"/>
  </cols>
  <sheetData>
    <row r="2" spans="2:10" ht="26.25" customHeight="1" x14ac:dyDescent="0.25">
      <c r="B2" s="14" t="s">
        <v>0</v>
      </c>
    </row>
    <row r="3" spans="2:10" ht="10.15" customHeight="1" x14ac:dyDescent="0.25">
      <c r="B3" s="14"/>
    </row>
    <row r="4" spans="2:10" ht="31.5" customHeight="1" outlineLevel="1" x14ac:dyDescent="0.25">
      <c r="B4" s="14"/>
      <c r="D4" s="18" t="s">
        <v>1</v>
      </c>
      <c r="E4" s="19" t="s">
        <v>2</v>
      </c>
      <c r="F4" s="20">
        <v>1</v>
      </c>
      <c r="G4" s="20">
        <v>2</v>
      </c>
      <c r="H4" s="20">
        <v>3</v>
      </c>
    </row>
    <row r="5" spans="2:10" ht="19.899999999999999" customHeight="1" outlineLevel="1" x14ac:dyDescent="0.25">
      <c r="B5" s="14"/>
      <c r="D5" s="19" t="s">
        <v>2</v>
      </c>
      <c r="E5" s="16">
        <f>SUM(E6:E9)</f>
        <v>51</v>
      </c>
      <c r="F5" s="17">
        <f>SUM(F6:F9)</f>
        <v>20</v>
      </c>
      <c r="G5" s="17">
        <f t="shared" ref="G5:H5" si="0">SUM(G6:G9)</f>
        <v>19</v>
      </c>
      <c r="H5" s="17">
        <f t="shared" si="0"/>
        <v>12</v>
      </c>
    </row>
    <row r="6" spans="2:10" ht="19.899999999999999" customHeight="1" outlineLevel="1" x14ac:dyDescent="0.25">
      <c r="B6" s="14"/>
      <c r="D6" s="20">
        <v>1</v>
      </c>
      <c r="E6" s="17">
        <f>SUM(F6:H6)</f>
        <v>15</v>
      </c>
      <c r="F6" s="21">
        <f t="shared" ref="F6:H9" si="1">COUNTIFS($E$13:$E$160,$D6,$C$13:$C$160,F$4)</f>
        <v>6</v>
      </c>
      <c r="G6" s="21">
        <f t="shared" si="1"/>
        <v>5</v>
      </c>
      <c r="H6" s="21">
        <f t="shared" si="1"/>
        <v>4</v>
      </c>
    </row>
    <row r="7" spans="2:10" ht="19.899999999999999" customHeight="1" outlineLevel="1" x14ac:dyDescent="0.25">
      <c r="B7" s="14"/>
      <c r="D7" s="20">
        <v>2</v>
      </c>
      <c r="E7" s="17">
        <f t="shared" ref="E7:E9" si="2">SUM(F7:H7)</f>
        <v>12</v>
      </c>
      <c r="F7" s="21">
        <f t="shared" si="1"/>
        <v>5</v>
      </c>
      <c r="G7" s="21">
        <f t="shared" si="1"/>
        <v>5</v>
      </c>
      <c r="H7" s="21">
        <f t="shared" si="1"/>
        <v>2</v>
      </c>
    </row>
    <row r="8" spans="2:10" ht="19.899999999999999" customHeight="1" outlineLevel="1" x14ac:dyDescent="0.25">
      <c r="B8" s="14"/>
      <c r="D8" s="20">
        <v>3</v>
      </c>
      <c r="E8" s="17">
        <f t="shared" si="2"/>
        <v>15</v>
      </c>
      <c r="F8" s="21">
        <f t="shared" si="1"/>
        <v>6</v>
      </c>
      <c r="G8" s="21">
        <f t="shared" si="1"/>
        <v>5</v>
      </c>
      <c r="H8" s="21">
        <f t="shared" si="1"/>
        <v>4</v>
      </c>
    </row>
    <row r="9" spans="2:10" ht="19.899999999999999" customHeight="1" outlineLevel="1" x14ac:dyDescent="0.25">
      <c r="B9" s="14"/>
      <c r="D9" s="20">
        <v>4</v>
      </c>
      <c r="E9" s="17">
        <f t="shared" si="2"/>
        <v>9</v>
      </c>
      <c r="F9" s="21">
        <f t="shared" si="1"/>
        <v>3</v>
      </c>
      <c r="G9" s="21">
        <f t="shared" si="1"/>
        <v>4</v>
      </c>
      <c r="H9" s="21">
        <f t="shared" si="1"/>
        <v>2</v>
      </c>
    </row>
    <row r="10" spans="2:10" ht="6.75" customHeight="1" x14ac:dyDescent="0.25"/>
    <row r="11" spans="2:10" ht="19.350000000000001" customHeight="1" x14ac:dyDescent="0.25">
      <c r="B11" s="30" t="s">
        <v>3</v>
      </c>
      <c r="C11" s="30" t="s">
        <v>4</v>
      </c>
      <c r="D11" s="30" t="s">
        <v>5</v>
      </c>
      <c r="E11" s="30" t="s">
        <v>6</v>
      </c>
      <c r="F11" s="28" t="s">
        <v>7</v>
      </c>
      <c r="G11" s="29" t="s">
        <v>8</v>
      </c>
      <c r="H11" s="29"/>
      <c r="I11" s="29"/>
      <c r="J11" s="29"/>
    </row>
    <row r="12" spans="2:10" ht="19.350000000000001" customHeight="1" x14ac:dyDescent="0.25">
      <c r="B12" s="30"/>
      <c r="C12" s="30"/>
      <c r="D12" s="30"/>
      <c r="E12" s="30"/>
      <c r="F12" s="28"/>
      <c r="G12" s="6" t="s">
        <v>9</v>
      </c>
      <c r="H12" s="6" t="s">
        <v>10</v>
      </c>
      <c r="I12" s="6" t="s">
        <v>11</v>
      </c>
      <c r="J12" s="6" t="s">
        <v>12</v>
      </c>
    </row>
    <row r="13" spans="2:10" s="15" customFormat="1" ht="12" x14ac:dyDescent="0.25">
      <c r="B13" s="4" t="str">
        <f t="shared" ref="B13:J13" si="3">"("&amp;COLUMN()-COLUMN($A$13)&amp;")"</f>
        <v>(1)</v>
      </c>
      <c r="C13" s="4" t="str">
        <f t="shared" si="3"/>
        <v>(2)</v>
      </c>
      <c r="D13" s="4" t="str">
        <f t="shared" si="3"/>
        <v>(3)</v>
      </c>
      <c r="E13" s="4" t="str">
        <f t="shared" si="3"/>
        <v>(4)</v>
      </c>
      <c r="F13" s="4" t="str">
        <f t="shared" si="3"/>
        <v>(5)</v>
      </c>
      <c r="G13" s="4" t="str">
        <f t="shared" si="3"/>
        <v>(6)</v>
      </c>
      <c r="H13" s="4" t="str">
        <f t="shared" si="3"/>
        <v>(7)</v>
      </c>
      <c r="I13" s="4" t="str">
        <f t="shared" si="3"/>
        <v>(8)</v>
      </c>
      <c r="J13" s="4" t="str">
        <f t="shared" si="3"/>
        <v>(9)</v>
      </c>
    </row>
    <row r="14" spans="2:10" ht="51" x14ac:dyDescent="0.25">
      <c r="B14" s="1">
        <f>ROW()-ROW($B$13)</f>
        <v>1</v>
      </c>
      <c r="C14" s="2">
        <v>1</v>
      </c>
      <c r="D14" s="3" t="s">
        <v>13</v>
      </c>
      <c r="E14" s="2">
        <v>1</v>
      </c>
      <c r="F14" s="5" t="s">
        <v>14</v>
      </c>
      <c r="G14" s="9" t="s">
        <v>15</v>
      </c>
      <c r="H14" s="7" t="s">
        <v>16</v>
      </c>
      <c r="I14" s="7" t="s">
        <v>17</v>
      </c>
      <c r="J14" s="7" t="s">
        <v>18</v>
      </c>
    </row>
    <row r="15" spans="2:10" ht="51" x14ac:dyDescent="0.25">
      <c r="B15" s="1">
        <f t="shared" ref="B15:B27" si="4">ROW()-ROW($B$13)</f>
        <v>2</v>
      </c>
      <c r="C15" s="2">
        <v>1</v>
      </c>
      <c r="D15" s="3" t="s">
        <v>13</v>
      </c>
      <c r="E15" s="2">
        <v>1</v>
      </c>
      <c r="F15" s="5" t="s">
        <v>19</v>
      </c>
      <c r="G15" s="10" t="s">
        <v>20</v>
      </c>
      <c r="H15" s="3" t="s">
        <v>21</v>
      </c>
      <c r="I15" s="3" t="s">
        <v>22</v>
      </c>
      <c r="J15" s="3" t="s">
        <v>23</v>
      </c>
    </row>
    <row r="16" spans="2:10" ht="63.75" x14ac:dyDescent="0.25">
      <c r="B16" s="1">
        <f t="shared" si="4"/>
        <v>3</v>
      </c>
      <c r="C16" s="2">
        <v>1</v>
      </c>
      <c r="D16" s="3" t="s">
        <v>13</v>
      </c>
      <c r="E16" s="2">
        <v>1</v>
      </c>
      <c r="F16" s="5" t="s">
        <v>24</v>
      </c>
      <c r="G16" s="10" t="s">
        <v>25</v>
      </c>
      <c r="H16" s="3" t="s">
        <v>26</v>
      </c>
      <c r="I16" s="3" t="s">
        <v>27</v>
      </c>
      <c r="J16" s="3" t="s">
        <v>28</v>
      </c>
    </row>
    <row r="17" spans="2:10" ht="63.75" x14ac:dyDescent="0.25">
      <c r="B17" s="1">
        <f t="shared" si="4"/>
        <v>4</v>
      </c>
      <c r="C17" s="2">
        <v>1</v>
      </c>
      <c r="D17" s="3" t="s">
        <v>13</v>
      </c>
      <c r="E17" s="2">
        <v>1</v>
      </c>
      <c r="F17" s="5" t="s">
        <v>29</v>
      </c>
      <c r="G17" s="10" t="s">
        <v>30</v>
      </c>
      <c r="H17" s="3" t="s">
        <v>31</v>
      </c>
      <c r="I17" s="3" t="s">
        <v>32</v>
      </c>
      <c r="J17" s="3" t="s">
        <v>33</v>
      </c>
    </row>
    <row r="18" spans="2:10" ht="63.75" x14ac:dyDescent="0.25">
      <c r="B18" s="1">
        <f t="shared" si="4"/>
        <v>5</v>
      </c>
      <c r="C18" s="2">
        <v>1</v>
      </c>
      <c r="D18" s="3" t="s">
        <v>13</v>
      </c>
      <c r="E18" s="2">
        <v>1</v>
      </c>
      <c r="F18" s="5" t="s">
        <v>34</v>
      </c>
      <c r="G18" s="10" t="s">
        <v>35</v>
      </c>
      <c r="H18" s="3" t="s">
        <v>36</v>
      </c>
      <c r="I18" s="3" t="s">
        <v>37</v>
      </c>
      <c r="J18" s="3" t="s">
        <v>38</v>
      </c>
    </row>
    <row r="19" spans="2:10" ht="51" x14ac:dyDescent="0.25">
      <c r="B19" s="1">
        <f t="shared" si="4"/>
        <v>6</v>
      </c>
      <c r="C19" s="2">
        <v>1</v>
      </c>
      <c r="D19" s="3" t="s">
        <v>13</v>
      </c>
      <c r="E19" s="2">
        <v>1</v>
      </c>
      <c r="F19" s="5" t="s">
        <v>39</v>
      </c>
      <c r="G19" s="10" t="s">
        <v>40</v>
      </c>
      <c r="H19" s="3" t="s">
        <v>41</v>
      </c>
      <c r="I19" s="3" t="s">
        <v>42</v>
      </c>
      <c r="J19" s="3" t="s">
        <v>43</v>
      </c>
    </row>
    <row r="20" spans="2:10" ht="51" x14ac:dyDescent="0.25">
      <c r="B20" s="1">
        <f t="shared" si="4"/>
        <v>7</v>
      </c>
      <c r="C20" s="2">
        <v>1</v>
      </c>
      <c r="D20" s="3" t="s">
        <v>13</v>
      </c>
      <c r="E20" s="2">
        <v>2</v>
      </c>
      <c r="F20" s="5" t="s">
        <v>44</v>
      </c>
      <c r="G20" s="11" t="s">
        <v>45</v>
      </c>
      <c r="H20" s="8" t="s">
        <v>46</v>
      </c>
      <c r="I20" s="8" t="s">
        <v>47</v>
      </c>
      <c r="J20" s="8" t="s">
        <v>48</v>
      </c>
    </row>
    <row r="21" spans="2:10" ht="51" x14ac:dyDescent="0.25">
      <c r="B21" s="1">
        <f t="shared" si="4"/>
        <v>8</v>
      </c>
      <c r="C21" s="2">
        <v>1</v>
      </c>
      <c r="D21" s="3" t="s">
        <v>13</v>
      </c>
      <c r="E21" s="2">
        <v>2</v>
      </c>
      <c r="F21" s="5" t="s">
        <v>49</v>
      </c>
      <c r="G21" s="11" t="s">
        <v>50</v>
      </c>
      <c r="H21" s="8" t="s">
        <v>51</v>
      </c>
      <c r="I21" s="8" t="s">
        <v>52</v>
      </c>
      <c r="J21" s="8" t="s">
        <v>53</v>
      </c>
    </row>
    <row r="22" spans="2:10" ht="51" x14ac:dyDescent="0.25">
      <c r="B22" s="1">
        <f t="shared" si="4"/>
        <v>9</v>
      </c>
      <c r="C22" s="2">
        <v>1</v>
      </c>
      <c r="D22" s="3" t="s">
        <v>13</v>
      </c>
      <c r="E22" s="2">
        <v>2</v>
      </c>
      <c r="F22" s="5" t="s">
        <v>54</v>
      </c>
      <c r="G22" s="10" t="s">
        <v>55</v>
      </c>
      <c r="H22" s="3" t="s">
        <v>56</v>
      </c>
      <c r="I22" s="3" t="s">
        <v>57</v>
      </c>
      <c r="J22" s="3" t="s">
        <v>58</v>
      </c>
    </row>
    <row r="23" spans="2:10" ht="51" x14ac:dyDescent="0.25">
      <c r="B23" s="1">
        <f t="shared" si="4"/>
        <v>10</v>
      </c>
      <c r="C23" s="2">
        <v>1</v>
      </c>
      <c r="D23" s="3" t="s">
        <v>13</v>
      </c>
      <c r="E23" s="2">
        <v>2</v>
      </c>
      <c r="F23" s="5" t="s">
        <v>59</v>
      </c>
      <c r="G23" s="10" t="s">
        <v>60</v>
      </c>
      <c r="H23" s="3" t="s">
        <v>61</v>
      </c>
      <c r="I23" s="3" t="s">
        <v>62</v>
      </c>
      <c r="J23" s="3" t="s">
        <v>63</v>
      </c>
    </row>
    <row r="24" spans="2:10" ht="51" x14ac:dyDescent="0.25">
      <c r="B24" s="1">
        <f t="shared" si="4"/>
        <v>11</v>
      </c>
      <c r="C24" s="2">
        <v>1</v>
      </c>
      <c r="D24" s="3" t="s">
        <v>13</v>
      </c>
      <c r="E24" s="2">
        <v>2</v>
      </c>
      <c r="F24" s="5" t="s">
        <v>64</v>
      </c>
      <c r="G24" s="10" t="s">
        <v>65</v>
      </c>
      <c r="H24" s="3" t="s">
        <v>66</v>
      </c>
      <c r="I24" s="3" t="s">
        <v>67</v>
      </c>
      <c r="J24" s="3" t="s">
        <v>68</v>
      </c>
    </row>
    <row r="25" spans="2:10" ht="51" x14ac:dyDescent="0.25">
      <c r="B25" s="1">
        <f t="shared" si="4"/>
        <v>12</v>
      </c>
      <c r="C25" s="2">
        <v>1</v>
      </c>
      <c r="D25" s="3" t="s">
        <v>13</v>
      </c>
      <c r="E25" s="2">
        <v>3</v>
      </c>
      <c r="F25" s="5" t="s">
        <v>69</v>
      </c>
      <c r="G25" s="10" t="s">
        <v>70</v>
      </c>
      <c r="H25" s="3" t="s">
        <v>71</v>
      </c>
      <c r="I25" s="3" t="s">
        <v>72</v>
      </c>
      <c r="J25" s="3" t="s">
        <v>73</v>
      </c>
    </row>
    <row r="26" spans="2:10" ht="51" x14ac:dyDescent="0.25">
      <c r="B26" s="1">
        <f t="shared" si="4"/>
        <v>13</v>
      </c>
      <c r="C26" s="2">
        <v>1</v>
      </c>
      <c r="D26" s="3" t="s">
        <v>13</v>
      </c>
      <c r="E26" s="2">
        <v>3</v>
      </c>
      <c r="F26" s="5" t="s">
        <v>74</v>
      </c>
      <c r="G26" s="10" t="s">
        <v>75</v>
      </c>
      <c r="H26" s="3" t="s">
        <v>76</v>
      </c>
      <c r="I26" s="3" t="s">
        <v>77</v>
      </c>
      <c r="J26" s="3" t="s">
        <v>78</v>
      </c>
    </row>
    <row r="27" spans="2:10" ht="51" x14ac:dyDescent="0.25">
      <c r="B27" s="1">
        <f t="shared" si="4"/>
        <v>14</v>
      </c>
      <c r="C27" s="2">
        <v>1</v>
      </c>
      <c r="D27" s="3" t="s">
        <v>13</v>
      </c>
      <c r="E27" s="2">
        <v>3</v>
      </c>
      <c r="F27" s="5" t="s">
        <v>79</v>
      </c>
      <c r="G27" s="9" t="s">
        <v>80</v>
      </c>
      <c r="H27" s="7" t="s">
        <v>81</v>
      </c>
      <c r="I27" s="7" t="s">
        <v>82</v>
      </c>
      <c r="J27" s="7" t="s">
        <v>83</v>
      </c>
    </row>
    <row r="28" spans="2:10" ht="165.75" x14ac:dyDescent="0.25">
      <c r="B28" s="1">
        <f>ROW()-ROW($B$13)</f>
        <v>15</v>
      </c>
      <c r="C28" s="2">
        <v>1</v>
      </c>
      <c r="D28" s="3" t="s">
        <v>13</v>
      </c>
      <c r="E28" s="2">
        <v>3</v>
      </c>
      <c r="F28" s="5" t="s">
        <v>84</v>
      </c>
      <c r="G28" s="9" t="s">
        <v>85</v>
      </c>
      <c r="H28" s="7" t="s">
        <v>86</v>
      </c>
      <c r="I28" s="7" t="s">
        <v>87</v>
      </c>
      <c r="J28" s="7" t="s">
        <v>88</v>
      </c>
    </row>
    <row r="29" spans="2:10" ht="63.75" x14ac:dyDescent="0.25">
      <c r="B29" s="1">
        <f t="shared" ref="B29:B39" si="5">ROW()-ROW($B$13)</f>
        <v>16</v>
      </c>
      <c r="C29" s="2">
        <v>1</v>
      </c>
      <c r="D29" s="3" t="s">
        <v>13</v>
      </c>
      <c r="E29" s="2">
        <v>3</v>
      </c>
      <c r="F29" s="5" t="s">
        <v>89</v>
      </c>
      <c r="G29" s="10" t="s">
        <v>90</v>
      </c>
      <c r="H29" s="3" t="s">
        <v>91</v>
      </c>
      <c r="I29" s="3" t="s">
        <v>92</v>
      </c>
      <c r="J29" s="3" t="s">
        <v>93</v>
      </c>
    </row>
    <row r="30" spans="2:10" ht="76.5" x14ac:dyDescent="0.25">
      <c r="B30" s="1">
        <f t="shared" si="5"/>
        <v>17</v>
      </c>
      <c r="C30" s="2">
        <v>1</v>
      </c>
      <c r="D30" s="3" t="s">
        <v>13</v>
      </c>
      <c r="E30" s="2">
        <v>3</v>
      </c>
      <c r="F30" s="5" t="s">
        <v>94</v>
      </c>
      <c r="G30" s="10" t="s">
        <v>95</v>
      </c>
      <c r="H30" s="3" t="s">
        <v>96</v>
      </c>
      <c r="I30" s="3" t="s">
        <v>97</v>
      </c>
      <c r="J30" s="3" t="s">
        <v>98</v>
      </c>
    </row>
    <row r="31" spans="2:10" ht="51" x14ac:dyDescent="0.25">
      <c r="B31" s="1">
        <f t="shared" si="5"/>
        <v>18</v>
      </c>
      <c r="C31" s="2">
        <v>1</v>
      </c>
      <c r="D31" s="3" t="s">
        <v>13</v>
      </c>
      <c r="E31" s="2">
        <v>4</v>
      </c>
      <c r="F31" s="5" t="s">
        <v>99</v>
      </c>
      <c r="G31" s="10" t="s">
        <v>100</v>
      </c>
      <c r="H31" s="3" t="s">
        <v>101</v>
      </c>
      <c r="I31" s="3" t="s">
        <v>102</v>
      </c>
      <c r="J31" s="3" t="s">
        <v>103</v>
      </c>
    </row>
    <row r="32" spans="2:10" ht="51" x14ac:dyDescent="0.25">
      <c r="B32" s="1">
        <f t="shared" si="5"/>
        <v>19</v>
      </c>
      <c r="C32" s="2">
        <v>1</v>
      </c>
      <c r="D32" s="3" t="s">
        <v>13</v>
      </c>
      <c r="E32" s="2">
        <v>4</v>
      </c>
      <c r="F32" s="5" t="s">
        <v>104</v>
      </c>
      <c r="G32" s="10" t="s">
        <v>105</v>
      </c>
      <c r="H32" s="3" t="s">
        <v>106</v>
      </c>
      <c r="I32" s="3" t="s">
        <v>107</v>
      </c>
      <c r="J32" s="3" t="s">
        <v>108</v>
      </c>
    </row>
    <row r="33" spans="2:10" ht="51" x14ac:dyDescent="0.25">
      <c r="B33" s="1">
        <f t="shared" si="5"/>
        <v>20</v>
      </c>
      <c r="C33" s="2">
        <v>1</v>
      </c>
      <c r="D33" s="3" t="s">
        <v>13</v>
      </c>
      <c r="E33" s="2">
        <v>4</v>
      </c>
      <c r="F33" s="5" t="s">
        <v>109</v>
      </c>
      <c r="G33" s="11" t="s">
        <v>110</v>
      </c>
      <c r="H33" s="8" t="s">
        <v>111</v>
      </c>
      <c r="I33" s="8" t="s">
        <v>112</v>
      </c>
      <c r="J33" s="8" t="s">
        <v>113</v>
      </c>
    </row>
    <row r="34" spans="2:10" ht="51" x14ac:dyDescent="0.25">
      <c r="B34" s="1">
        <f t="shared" si="5"/>
        <v>21</v>
      </c>
      <c r="C34" s="2">
        <v>2</v>
      </c>
      <c r="D34" s="3" t="s">
        <v>114</v>
      </c>
      <c r="E34" s="2">
        <v>1</v>
      </c>
      <c r="F34" s="5" t="s">
        <v>115</v>
      </c>
      <c r="G34" s="11" t="s">
        <v>116</v>
      </c>
      <c r="H34" s="8" t="s">
        <v>117</v>
      </c>
      <c r="I34" s="8" t="s">
        <v>118</v>
      </c>
      <c r="J34" s="8" t="s">
        <v>119</v>
      </c>
    </row>
    <row r="35" spans="2:10" ht="51" x14ac:dyDescent="0.25">
      <c r="B35" s="1">
        <f t="shared" si="5"/>
        <v>22</v>
      </c>
      <c r="C35" s="2">
        <v>2</v>
      </c>
      <c r="D35" s="3" t="s">
        <v>114</v>
      </c>
      <c r="E35" s="2">
        <v>1</v>
      </c>
      <c r="F35" s="5" t="s">
        <v>120</v>
      </c>
      <c r="G35" s="11" t="s">
        <v>121</v>
      </c>
      <c r="H35" s="8" t="s">
        <v>122</v>
      </c>
      <c r="I35" s="8" t="s">
        <v>123</v>
      </c>
      <c r="J35" s="8" t="s">
        <v>124</v>
      </c>
    </row>
    <row r="36" spans="2:10" ht="89.25" x14ac:dyDescent="0.25">
      <c r="B36" s="1">
        <f t="shared" si="5"/>
        <v>23</v>
      </c>
      <c r="C36" s="2">
        <v>2</v>
      </c>
      <c r="D36" s="3" t="s">
        <v>114</v>
      </c>
      <c r="E36" s="2">
        <v>1</v>
      </c>
      <c r="F36" s="5" t="s">
        <v>125</v>
      </c>
      <c r="G36" s="10" t="s">
        <v>126</v>
      </c>
      <c r="H36" s="3" t="s">
        <v>37</v>
      </c>
      <c r="I36" s="3" t="s">
        <v>127</v>
      </c>
      <c r="J36" s="3" t="s">
        <v>38</v>
      </c>
    </row>
    <row r="37" spans="2:10" ht="127.5" x14ac:dyDescent="0.25">
      <c r="B37" s="1">
        <f t="shared" si="5"/>
        <v>24</v>
      </c>
      <c r="C37" s="2">
        <v>2</v>
      </c>
      <c r="D37" s="3" t="s">
        <v>114</v>
      </c>
      <c r="E37" s="2">
        <v>1</v>
      </c>
      <c r="F37" s="5" t="s">
        <v>128</v>
      </c>
      <c r="G37" s="10" t="s">
        <v>129</v>
      </c>
      <c r="H37" s="3" t="s">
        <v>130</v>
      </c>
      <c r="I37" s="3" t="s">
        <v>131</v>
      </c>
      <c r="J37" s="3" t="s">
        <v>132</v>
      </c>
    </row>
    <row r="38" spans="2:10" ht="51" x14ac:dyDescent="0.25">
      <c r="B38" s="1">
        <f t="shared" si="5"/>
        <v>25</v>
      </c>
      <c r="C38" s="2">
        <v>2</v>
      </c>
      <c r="D38" s="3" t="s">
        <v>114</v>
      </c>
      <c r="E38" s="2">
        <v>1</v>
      </c>
      <c r="F38" s="5" t="s">
        <v>133</v>
      </c>
      <c r="G38" s="10" t="s">
        <v>134</v>
      </c>
      <c r="H38" s="3" t="s">
        <v>135</v>
      </c>
      <c r="I38" s="3" t="s">
        <v>136</v>
      </c>
      <c r="J38" s="3" t="s">
        <v>137</v>
      </c>
    </row>
    <row r="39" spans="2:10" ht="65.45" customHeight="1" x14ac:dyDescent="0.25">
      <c r="B39" s="1">
        <f t="shared" si="5"/>
        <v>26</v>
      </c>
      <c r="C39" s="2">
        <v>2</v>
      </c>
      <c r="D39" s="3" t="s">
        <v>114</v>
      </c>
      <c r="E39" s="2">
        <v>2</v>
      </c>
      <c r="F39" s="5" t="s">
        <v>138</v>
      </c>
      <c r="G39" s="9" t="s">
        <v>139</v>
      </c>
      <c r="H39" s="7" t="s">
        <v>140</v>
      </c>
      <c r="I39" s="7" t="s">
        <v>141</v>
      </c>
      <c r="J39" s="7" t="s">
        <v>142</v>
      </c>
    </row>
    <row r="40" spans="2:10" ht="51" x14ac:dyDescent="0.25">
      <c r="B40" s="1">
        <f t="shared" ref="B40:B52" si="6">ROW()-ROW($B$13)</f>
        <v>27</v>
      </c>
      <c r="C40" s="2">
        <v>2</v>
      </c>
      <c r="D40" s="3" t="s">
        <v>114</v>
      </c>
      <c r="E40" s="2">
        <v>2</v>
      </c>
      <c r="F40" s="5" t="s">
        <v>143</v>
      </c>
      <c r="G40" s="10" t="s">
        <v>144</v>
      </c>
      <c r="H40" s="3" t="s">
        <v>145</v>
      </c>
      <c r="I40" s="3" t="s">
        <v>146</v>
      </c>
      <c r="J40" s="3" t="s">
        <v>147</v>
      </c>
    </row>
    <row r="41" spans="2:10" ht="64.5" customHeight="1" x14ac:dyDescent="0.25">
      <c r="B41" s="1">
        <f t="shared" si="6"/>
        <v>28</v>
      </c>
      <c r="C41" s="2">
        <v>2</v>
      </c>
      <c r="D41" s="3" t="s">
        <v>114</v>
      </c>
      <c r="E41" s="2">
        <v>2</v>
      </c>
      <c r="F41" s="5" t="s">
        <v>148</v>
      </c>
      <c r="G41" s="10" t="s">
        <v>149</v>
      </c>
      <c r="H41" s="3" t="s">
        <v>150</v>
      </c>
      <c r="I41" s="3" t="s">
        <v>151</v>
      </c>
      <c r="J41" s="3" t="s">
        <v>152</v>
      </c>
    </row>
    <row r="42" spans="2:10" ht="51" x14ac:dyDescent="0.25">
      <c r="B42" s="1">
        <f t="shared" si="6"/>
        <v>29</v>
      </c>
      <c r="C42" s="2">
        <v>2</v>
      </c>
      <c r="D42" s="3" t="s">
        <v>114</v>
      </c>
      <c r="E42" s="2">
        <v>2</v>
      </c>
      <c r="F42" s="5" t="s">
        <v>153</v>
      </c>
      <c r="G42" s="10" t="s">
        <v>154</v>
      </c>
      <c r="H42" s="3" t="s">
        <v>155</v>
      </c>
      <c r="I42" s="3" t="s">
        <v>156</v>
      </c>
      <c r="J42" s="3" t="s">
        <v>157</v>
      </c>
    </row>
    <row r="43" spans="2:10" ht="51" x14ac:dyDescent="0.25">
      <c r="B43" s="1">
        <f t="shared" si="6"/>
        <v>30</v>
      </c>
      <c r="C43" s="2">
        <v>2</v>
      </c>
      <c r="D43" s="3" t="s">
        <v>114</v>
      </c>
      <c r="E43" s="2">
        <v>2</v>
      </c>
      <c r="F43" s="5" t="s">
        <v>158</v>
      </c>
      <c r="G43" s="10" t="s">
        <v>159</v>
      </c>
      <c r="H43" s="3" t="s">
        <v>160</v>
      </c>
      <c r="I43" s="3" t="s">
        <v>161</v>
      </c>
      <c r="J43" s="3" t="s">
        <v>162</v>
      </c>
    </row>
    <row r="44" spans="2:10" ht="51" x14ac:dyDescent="0.25">
      <c r="B44" s="1">
        <f t="shared" si="6"/>
        <v>31</v>
      </c>
      <c r="C44" s="2">
        <v>2</v>
      </c>
      <c r="D44" s="3" t="s">
        <v>114</v>
      </c>
      <c r="E44" s="2">
        <v>3</v>
      </c>
      <c r="F44" s="5" t="s">
        <v>163</v>
      </c>
      <c r="G44" s="10" t="s">
        <v>164</v>
      </c>
      <c r="H44" s="3" t="s">
        <v>165</v>
      </c>
      <c r="I44" s="3" t="s">
        <v>166</v>
      </c>
      <c r="J44" s="3" t="s">
        <v>167</v>
      </c>
    </row>
    <row r="45" spans="2:10" ht="51" x14ac:dyDescent="0.25">
      <c r="B45" s="1">
        <f t="shared" si="6"/>
        <v>32</v>
      </c>
      <c r="C45" s="2">
        <v>2</v>
      </c>
      <c r="D45" s="3" t="s">
        <v>114</v>
      </c>
      <c r="E45" s="2">
        <v>3</v>
      </c>
      <c r="F45" s="5" t="s">
        <v>168</v>
      </c>
      <c r="G45" s="11" t="s">
        <v>169</v>
      </c>
      <c r="H45" s="8" t="s">
        <v>170</v>
      </c>
      <c r="I45" s="8" t="s">
        <v>171</v>
      </c>
      <c r="J45" s="8" t="s">
        <v>172</v>
      </c>
    </row>
    <row r="46" spans="2:10" ht="89.25" x14ac:dyDescent="0.25">
      <c r="B46" s="1">
        <f t="shared" si="6"/>
        <v>33</v>
      </c>
      <c r="C46" s="2">
        <v>2</v>
      </c>
      <c r="D46" s="3" t="s">
        <v>114</v>
      </c>
      <c r="E46" s="2">
        <v>3</v>
      </c>
      <c r="F46" s="5" t="s">
        <v>173</v>
      </c>
      <c r="G46" s="11" t="s">
        <v>174</v>
      </c>
      <c r="H46" s="8" t="s">
        <v>175</v>
      </c>
      <c r="I46" s="8" t="s">
        <v>176</v>
      </c>
      <c r="J46" s="8" t="s">
        <v>177</v>
      </c>
    </row>
    <row r="47" spans="2:10" ht="51" x14ac:dyDescent="0.25">
      <c r="B47" s="1">
        <f t="shared" si="6"/>
        <v>34</v>
      </c>
      <c r="C47" s="2">
        <v>2</v>
      </c>
      <c r="D47" s="3" t="s">
        <v>114</v>
      </c>
      <c r="E47" s="2">
        <v>3</v>
      </c>
      <c r="F47" s="5" t="s">
        <v>178</v>
      </c>
      <c r="G47" s="11" t="s">
        <v>179</v>
      </c>
      <c r="H47" s="8" t="s">
        <v>180</v>
      </c>
      <c r="I47" s="8" t="s">
        <v>181</v>
      </c>
      <c r="J47" s="8" t="s">
        <v>182</v>
      </c>
    </row>
    <row r="48" spans="2:10" ht="63.75" x14ac:dyDescent="0.25">
      <c r="B48" s="1">
        <f t="shared" si="6"/>
        <v>35</v>
      </c>
      <c r="C48" s="2">
        <v>2</v>
      </c>
      <c r="D48" s="3" t="s">
        <v>114</v>
      </c>
      <c r="E48" s="2">
        <v>3</v>
      </c>
      <c r="F48" s="5" t="s">
        <v>183</v>
      </c>
      <c r="G48" s="11" t="s">
        <v>184</v>
      </c>
      <c r="H48" s="8" t="s">
        <v>185</v>
      </c>
      <c r="I48" s="8" t="s">
        <v>186</v>
      </c>
      <c r="J48" s="8" t="s">
        <v>187</v>
      </c>
    </row>
    <row r="49" spans="2:10" ht="51" x14ac:dyDescent="0.25">
      <c r="B49" s="1">
        <f t="shared" si="6"/>
        <v>36</v>
      </c>
      <c r="C49" s="2">
        <v>2</v>
      </c>
      <c r="D49" s="3" t="s">
        <v>114</v>
      </c>
      <c r="E49" s="2">
        <v>4</v>
      </c>
      <c r="F49" s="5" t="s">
        <v>188</v>
      </c>
      <c r="G49" s="10" t="s">
        <v>189</v>
      </c>
      <c r="H49" s="3" t="s">
        <v>190</v>
      </c>
      <c r="I49" s="3" t="s">
        <v>191</v>
      </c>
      <c r="J49" s="3" t="s">
        <v>192</v>
      </c>
    </row>
    <row r="50" spans="2:10" ht="105.6" customHeight="1" x14ac:dyDescent="0.25">
      <c r="B50" s="1">
        <f t="shared" si="6"/>
        <v>37</v>
      </c>
      <c r="C50" s="2">
        <v>2</v>
      </c>
      <c r="D50" s="3" t="s">
        <v>114</v>
      </c>
      <c r="E50" s="2">
        <v>4</v>
      </c>
      <c r="F50" s="5" t="s">
        <v>193</v>
      </c>
      <c r="G50" s="10" t="s">
        <v>194</v>
      </c>
      <c r="H50" s="3" t="s">
        <v>195</v>
      </c>
      <c r="I50" s="3" t="s">
        <v>196</v>
      </c>
      <c r="J50" s="3" t="s">
        <v>197</v>
      </c>
    </row>
    <row r="51" spans="2:10" ht="76.5" x14ac:dyDescent="0.25">
      <c r="B51" s="1">
        <f t="shared" si="6"/>
        <v>38</v>
      </c>
      <c r="C51" s="2">
        <v>2</v>
      </c>
      <c r="D51" s="3" t="s">
        <v>114</v>
      </c>
      <c r="E51" s="2">
        <v>4</v>
      </c>
      <c r="F51" s="5" t="s">
        <v>198</v>
      </c>
      <c r="G51" s="9" t="s">
        <v>199</v>
      </c>
      <c r="H51" s="7" t="s">
        <v>200</v>
      </c>
      <c r="I51" s="7" t="s">
        <v>201</v>
      </c>
      <c r="J51" s="7" t="s">
        <v>202</v>
      </c>
    </row>
    <row r="52" spans="2:10" ht="51" x14ac:dyDescent="0.25">
      <c r="B52" s="1">
        <f t="shared" si="6"/>
        <v>39</v>
      </c>
      <c r="C52" s="2">
        <v>2</v>
      </c>
      <c r="D52" s="3" t="s">
        <v>114</v>
      </c>
      <c r="E52" s="2">
        <v>4</v>
      </c>
      <c r="F52" s="5" t="s">
        <v>203</v>
      </c>
      <c r="G52" s="10" t="s">
        <v>204</v>
      </c>
      <c r="H52" s="3" t="s">
        <v>205</v>
      </c>
      <c r="I52" s="3" t="s">
        <v>206</v>
      </c>
      <c r="J52" s="3" t="s">
        <v>207</v>
      </c>
    </row>
    <row r="53" spans="2:10" ht="63.75" x14ac:dyDescent="0.25">
      <c r="B53" s="1">
        <f>ROW()-ROW($B$13)</f>
        <v>40</v>
      </c>
      <c r="C53" s="2">
        <v>3</v>
      </c>
      <c r="D53" s="3" t="s">
        <v>208</v>
      </c>
      <c r="E53" s="2">
        <v>1</v>
      </c>
      <c r="F53" s="5" t="s">
        <v>209</v>
      </c>
      <c r="G53" s="9" t="s">
        <v>210</v>
      </c>
      <c r="H53" s="7" t="s">
        <v>211</v>
      </c>
      <c r="I53" s="7" t="s">
        <v>212</v>
      </c>
      <c r="J53" s="7" t="s">
        <v>213</v>
      </c>
    </row>
    <row r="54" spans="2:10" ht="63.75" x14ac:dyDescent="0.25">
      <c r="B54" s="1">
        <f t="shared" ref="B54:B73" si="7">ROW()-ROW($B$13)</f>
        <v>41</v>
      </c>
      <c r="C54" s="2">
        <v>3</v>
      </c>
      <c r="D54" s="3" t="s">
        <v>208</v>
      </c>
      <c r="E54" s="2">
        <v>1</v>
      </c>
      <c r="F54" s="5" t="s">
        <v>214</v>
      </c>
      <c r="G54" s="10" t="s">
        <v>215</v>
      </c>
      <c r="H54" s="3" t="s">
        <v>216</v>
      </c>
      <c r="I54" s="3" t="s">
        <v>217</v>
      </c>
      <c r="J54" s="3" t="s">
        <v>218</v>
      </c>
    </row>
    <row r="55" spans="2:10" ht="63.75" x14ac:dyDescent="0.25">
      <c r="B55" s="1">
        <f t="shared" si="7"/>
        <v>42</v>
      </c>
      <c r="C55" s="2">
        <v>3</v>
      </c>
      <c r="D55" s="3" t="s">
        <v>208</v>
      </c>
      <c r="E55" s="2">
        <v>1</v>
      </c>
      <c r="F55" s="5" t="s">
        <v>219</v>
      </c>
      <c r="G55" s="10" t="s">
        <v>220</v>
      </c>
      <c r="H55" s="3" t="s">
        <v>221</v>
      </c>
      <c r="I55" s="3" t="s">
        <v>222</v>
      </c>
      <c r="J55" s="3" t="s">
        <v>223</v>
      </c>
    </row>
    <row r="56" spans="2:10" ht="63.75" x14ac:dyDescent="0.25">
      <c r="B56" s="1">
        <f t="shared" si="7"/>
        <v>43</v>
      </c>
      <c r="C56" s="2">
        <v>3</v>
      </c>
      <c r="D56" s="3" t="s">
        <v>208</v>
      </c>
      <c r="E56" s="2">
        <v>1</v>
      </c>
      <c r="F56" s="5" t="s">
        <v>224</v>
      </c>
      <c r="G56" s="10" t="s">
        <v>225</v>
      </c>
      <c r="H56" s="3" t="s">
        <v>226</v>
      </c>
      <c r="I56" s="3" t="s">
        <v>227</v>
      </c>
      <c r="J56" s="3" t="s">
        <v>228</v>
      </c>
    </row>
    <row r="57" spans="2:10" ht="63.75" x14ac:dyDescent="0.25">
      <c r="B57" s="1">
        <f t="shared" si="7"/>
        <v>44</v>
      </c>
      <c r="C57" s="2">
        <v>3</v>
      </c>
      <c r="D57" s="3" t="s">
        <v>208</v>
      </c>
      <c r="E57" s="2">
        <v>2</v>
      </c>
      <c r="F57" s="5" t="s">
        <v>229</v>
      </c>
      <c r="G57" s="10" t="s">
        <v>230</v>
      </c>
      <c r="H57" s="3" t="s">
        <v>231</v>
      </c>
      <c r="I57" s="3" t="s">
        <v>232</v>
      </c>
      <c r="J57" s="3" t="s">
        <v>233</v>
      </c>
    </row>
    <row r="58" spans="2:10" ht="63.75" x14ac:dyDescent="0.25">
      <c r="B58" s="1">
        <f t="shared" si="7"/>
        <v>45</v>
      </c>
      <c r="C58" s="2">
        <v>3</v>
      </c>
      <c r="D58" s="3" t="s">
        <v>208</v>
      </c>
      <c r="E58" s="2">
        <v>2</v>
      </c>
      <c r="F58" s="5" t="s">
        <v>234</v>
      </c>
      <c r="G58" s="10" t="s">
        <v>235</v>
      </c>
      <c r="H58" s="3" t="s">
        <v>236</v>
      </c>
      <c r="I58" s="3" t="s">
        <v>237</v>
      </c>
      <c r="J58" s="3" t="s">
        <v>238</v>
      </c>
    </row>
    <row r="59" spans="2:10" ht="63.75" x14ac:dyDescent="0.25">
      <c r="B59" s="1">
        <f t="shared" si="7"/>
        <v>46</v>
      </c>
      <c r="C59" s="2">
        <v>3</v>
      </c>
      <c r="D59" s="3" t="s">
        <v>208</v>
      </c>
      <c r="E59" s="2">
        <v>3</v>
      </c>
      <c r="F59" s="5" t="s">
        <v>239</v>
      </c>
      <c r="G59" s="11" t="s">
        <v>240</v>
      </c>
      <c r="H59" s="8" t="s">
        <v>241</v>
      </c>
      <c r="I59" s="8" t="s">
        <v>242</v>
      </c>
      <c r="J59" s="8" t="s">
        <v>243</v>
      </c>
    </row>
    <row r="60" spans="2:10" ht="63.75" x14ac:dyDescent="0.25">
      <c r="B60" s="1">
        <f t="shared" si="7"/>
        <v>47</v>
      </c>
      <c r="C60" s="2">
        <v>3</v>
      </c>
      <c r="D60" s="3" t="s">
        <v>208</v>
      </c>
      <c r="E60" s="2">
        <v>3</v>
      </c>
      <c r="F60" s="5" t="s">
        <v>244</v>
      </c>
      <c r="G60" s="10" t="s">
        <v>245</v>
      </c>
      <c r="H60" s="3" t="s">
        <v>246</v>
      </c>
      <c r="I60" s="3" t="s">
        <v>247</v>
      </c>
      <c r="J60" s="3" t="s">
        <v>248</v>
      </c>
    </row>
    <row r="61" spans="2:10" ht="63.75" x14ac:dyDescent="0.25">
      <c r="B61" s="1">
        <f t="shared" si="7"/>
        <v>48</v>
      </c>
      <c r="C61" s="2">
        <v>3</v>
      </c>
      <c r="D61" s="3" t="s">
        <v>208</v>
      </c>
      <c r="E61" s="2">
        <v>3</v>
      </c>
      <c r="F61" s="5" t="s">
        <v>249</v>
      </c>
      <c r="G61" s="10" t="s">
        <v>250</v>
      </c>
      <c r="H61" s="3" t="s">
        <v>251</v>
      </c>
      <c r="I61" s="3" t="s">
        <v>252</v>
      </c>
      <c r="J61" s="3" t="s">
        <v>253</v>
      </c>
    </row>
    <row r="62" spans="2:10" ht="76.5" x14ac:dyDescent="0.25">
      <c r="B62" s="1">
        <f t="shared" si="7"/>
        <v>49</v>
      </c>
      <c r="C62" s="2">
        <v>3</v>
      </c>
      <c r="D62" s="3" t="s">
        <v>208</v>
      </c>
      <c r="E62" s="2">
        <v>3</v>
      </c>
      <c r="F62" s="5" t="s">
        <v>254</v>
      </c>
      <c r="G62" s="10" t="s">
        <v>255</v>
      </c>
      <c r="H62" s="3" t="s">
        <v>256</v>
      </c>
      <c r="I62" s="3" t="s">
        <v>257</v>
      </c>
      <c r="J62" s="3" t="s">
        <v>258</v>
      </c>
    </row>
    <row r="63" spans="2:10" ht="63.75" x14ac:dyDescent="0.25">
      <c r="B63" s="1">
        <f t="shared" si="7"/>
        <v>50</v>
      </c>
      <c r="C63" s="2">
        <v>3</v>
      </c>
      <c r="D63" s="3" t="s">
        <v>208</v>
      </c>
      <c r="E63" s="2">
        <v>4</v>
      </c>
      <c r="F63" s="5" t="s">
        <v>259</v>
      </c>
      <c r="G63" s="11" t="s">
        <v>260</v>
      </c>
      <c r="H63" s="8" t="s">
        <v>261</v>
      </c>
      <c r="I63" s="8" t="s">
        <v>262</v>
      </c>
      <c r="J63" s="8" t="s">
        <v>263</v>
      </c>
    </row>
    <row r="64" spans="2:10" ht="63.75" x14ac:dyDescent="0.25">
      <c r="B64" s="1">
        <f t="shared" si="7"/>
        <v>51</v>
      </c>
      <c r="C64" s="2">
        <v>3</v>
      </c>
      <c r="D64" s="3" t="s">
        <v>208</v>
      </c>
      <c r="E64" s="2">
        <v>4</v>
      </c>
      <c r="F64" s="5" t="s">
        <v>264</v>
      </c>
      <c r="G64" s="10" t="s">
        <v>265</v>
      </c>
      <c r="H64" s="3" t="s">
        <v>266</v>
      </c>
      <c r="I64" s="3" t="s">
        <v>267</v>
      </c>
      <c r="J64" s="3" t="s">
        <v>268</v>
      </c>
    </row>
    <row r="65" spans="2:10" x14ac:dyDescent="0.25">
      <c r="B65" s="1">
        <f t="shared" si="7"/>
        <v>52</v>
      </c>
      <c r="C65" s="2"/>
      <c r="D65" s="3"/>
      <c r="E65" s="2"/>
      <c r="F65" s="5"/>
      <c r="G65" s="10"/>
      <c r="H65" s="3"/>
      <c r="I65" s="3"/>
      <c r="J65" s="3"/>
    </row>
    <row r="66" spans="2:10" x14ac:dyDescent="0.25">
      <c r="B66" s="1">
        <f t="shared" si="7"/>
        <v>53</v>
      </c>
      <c r="C66" s="2"/>
      <c r="D66" s="3"/>
      <c r="E66" s="2"/>
      <c r="F66" s="5"/>
      <c r="G66" s="10"/>
      <c r="H66" s="3"/>
      <c r="I66" s="3"/>
      <c r="J66" s="3"/>
    </row>
    <row r="67" spans="2:10" x14ac:dyDescent="0.25">
      <c r="B67" s="1">
        <f t="shared" si="7"/>
        <v>54</v>
      </c>
      <c r="C67" s="2"/>
      <c r="D67" s="3"/>
      <c r="E67" s="2"/>
      <c r="F67" s="5"/>
      <c r="G67" s="9"/>
      <c r="H67" s="7"/>
      <c r="I67" s="7"/>
      <c r="J67" s="7"/>
    </row>
    <row r="68" spans="2:10" x14ac:dyDescent="0.25">
      <c r="B68" s="1">
        <f t="shared" si="7"/>
        <v>55</v>
      </c>
      <c r="C68" s="2"/>
      <c r="D68" s="3"/>
      <c r="E68" s="2"/>
      <c r="F68" s="5"/>
      <c r="G68" s="10"/>
      <c r="H68" s="3"/>
      <c r="I68" s="3"/>
      <c r="J68" s="3"/>
    </row>
    <row r="69" spans="2:10" x14ac:dyDescent="0.25">
      <c r="B69" s="1">
        <f t="shared" si="7"/>
        <v>56</v>
      </c>
      <c r="C69" s="2"/>
      <c r="D69" s="3"/>
      <c r="E69" s="2"/>
      <c r="F69" s="5"/>
      <c r="G69" s="10"/>
      <c r="H69" s="3"/>
      <c r="I69" s="3"/>
      <c r="J69" s="3"/>
    </row>
    <row r="70" spans="2:10" x14ac:dyDescent="0.25">
      <c r="B70" s="1">
        <f t="shared" si="7"/>
        <v>57</v>
      </c>
      <c r="C70" s="2"/>
      <c r="D70" s="3"/>
      <c r="E70" s="2"/>
      <c r="F70" s="5"/>
      <c r="G70" s="10"/>
      <c r="H70" s="3"/>
      <c r="I70" s="3"/>
      <c r="J70" s="3"/>
    </row>
    <row r="71" spans="2:10" x14ac:dyDescent="0.25">
      <c r="B71" s="1">
        <f t="shared" si="7"/>
        <v>58</v>
      </c>
      <c r="C71" s="2"/>
      <c r="D71" s="3"/>
      <c r="E71" s="2"/>
      <c r="F71" s="5"/>
      <c r="G71" s="9"/>
      <c r="H71" s="7"/>
      <c r="I71" s="7"/>
      <c r="J71" s="7"/>
    </row>
    <row r="72" spans="2:10" x14ac:dyDescent="0.25">
      <c r="B72" s="1">
        <f t="shared" si="7"/>
        <v>59</v>
      </c>
      <c r="C72" s="2"/>
      <c r="D72" s="3"/>
      <c r="E72" s="2"/>
      <c r="F72" s="5"/>
      <c r="G72" s="10"/>
      <c r="H72" s="3"/>
      <c r="I72" s="3"/>
      <c r="J72" s="3"/>
    </row>
    <row r="73" spans="2:10" x14ac:dyDescent="0.25">
      <c r="B73" s="1">
        <f t="shared" si="7"/>
        <v>60</v>
      </c>
      <c r="C73" s="2"/>
      <c r="D73" s="3"/>
      <c r="E73" s="2"/>
      <c r="F73" s="5"/>
      <c r="G73" s="10"/>
      <c r="H73" s="3"/>
      <c r="I73" s="3"/>
      <c r="J73" s="3"/>
    </row>
  </sheetData>
  <autoFilter ref="B13:M97" xr:uid="{B005C0B0-9D89-4729-AC6E-7F1010ED0730}"/>
  <mergeCells count="6">
    <mergeCell ref="F11:F12"/>
    <mergeCell ref="G11:J11"/>
    <mergeCell ref="B11:B12"/>
    <mergeCell ref="C11:C12"/>
    <mergeCell ref="D11:D12"/>
    <mergeCell ref="E11:E12"/>
  </mergeCells>
  <conditionalFormatting sqref="F6:H9">
    <cfRule type="expression" dxfId="1" priority="1">
      <formula>F6&lt;2</formula>
    </cfRule>
  </conditionalFormatting>
  <pageMargins left="0.7" right="0.7" top="0.75" bottom="0.75" header="0.3" footer="0.3"/>
  <pageSetup scale="32" orientation="portrait" horizontalDpi="1200" verticalDpi="1200" r:id="rId1"/>
  <colBreaks count="1" manualBreakCount="1">
    <brk id="10"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DE468-FA16-490F-A917-F8E3FBA89BEB}">
  <sheetPr filterMode="1">
    <tabColor theme="9" tint="0.59999389629810485"/>
  </sheetPr>
  <dimension ref="B2:J57"/>
  <sheetViews>
    <sheetView showGridLines="0" tabSelected="1" topLeftCell="A49" zoomScale="78" zoomScaleNormal="100" workbookViewId="0">
      <selection activeCell="F55" sqref="F55"/>
    </sheetView>
  </sheetViews>
  <sheetFormatPr defaultColWidth="9.140625" defaultRowHeight="14.25" outlineLevelRow="1" x14ac:dyDescent="0.25"/>
  <cols>
    <col min="1" max="1" width="2.85546875" style="13" customWidth="1"/>
    <col min="2" max="2" width="7.85546875" style="12" customWidth="1"/>
    <col min="3" max="3" width="9.140625" style="12"/>
    <col min="4" max="4" width="23.42578125" style="13" customWidth="1"/>
    <col min="5" max="5" width="9.140625" style="12"/>
    <col min="6" max="7" width="28" style="13" customWidth="1"/>
    <col min="8" max="8" width="27.42578125" style="13" customWidth="1"/>
    <col min="9" max="9" width="29.140625" style="13" customWidth="1"/>
    <col min="10" max="10" width="31.42578125" style="13" customWidth="1"/>
    <col min="11" max="11" width="9.140625" style="13"/>
    <col min="12" max="12" width="12.5703125" style="13" customWidth="1"/>
    <col min="13" max="16384" width="9.140625" style="13"/>
  </cols>
  <sheetData>
    <row r="2" spans="2:10" ht="26.25" customHeight="1" x14ac:dyDescent="0.25">
      <c r="B2" s="14" t="s">
        <v>0</v>
      </c>
    </row>
    <row r="3" spans="2:10" ht="10.15" customHeight="1" x14ac:dyDescent="0.25">
      <c r="B3" s="14"/>
    </row>
    <row r="4" spans="2:10" ht="31.5" customHeight="1" outlineLevel="1" x14ac:dyDescent="0.25">
      <c r="B4" s="14"/>
      <c r="D4" s="18" t="s">
        <v>1</v>
      </c>
      <c r="E4" s="19" t="s">
        <v>2</v>
      </c>
      <c r="F4" s="20">
        <v>1</v>
      </c>
      <c r="G4" s="20">
        <v>2</v>
      </c>
      <c r="H4" s="20">
        <v>3</v>
      </c>
    </row>
    <row r="5" spans="2:10" ht="19.899999999999999" customHeight="1" outlineLevel="1" x14ac:dyDescent="0.25">
      <c r="B5" s="14"/>
      <c r="D5" s="19" t="s">
        <v>2</v>
      </c>
      <c r="E5" s="16">
        <f>SUM(E6:E9)</f>
        <v>44</v>
      </c>
      <c r="F5" s="17">
        <f>SUM(F6:F9)</f>
        <v>16</v>
      </c>
      <c r="G5" s="17">
        <f t="shared" ref="G5:H5" si="0">SUM(G6:G9)</f>
        <v>17</v>
      </c>
      <c r="H5" s="17">
        <f t="shared" si="0"/>
        <v>11</v>
      </c>
    </row>
    <row r="6" spans="2:10" ht="19.899999999999999" customHeight="1" outlineLevel="1" x14ac:dyDescent="0.25">
      <c r="B6" s="14"/>
      <c r="D6" s="20">
        <v>1</v>
      </c>
      <c r="E6" s="17">
        <f>SUM(F6:H6)</f>
        <v>12</v>
      </c>
      <c r="F6" s="21">
        <f t="shared" ref="F6:H9" si="1">COUNTIFS($E$13:$E$144,$D6,$C$13:$C$144,F$4)</f>
        <v>4</v>
      </c>
      <c r="G6" s="21">
        <f t="shared" si="1"/>
        <v>5</v>
      </c>
      <c r="H6" s="21">
        <f t="shared" si="1"/>
        <v>3</v>
      </c>
    </row>
    <row r="7" spans="2:10" ht="19.899999999999999" customHeight="1" outlineLevel="1" x14ac:dyDescent="0.25">
      <c r="B7" s="14"/>
      <c r="D7" s="20">
        <v>2</v>
      </c>
      <c r="E7" s="17">
        <f t="shared" ref="E7:E9" si="2">SUM(F7:H7)</f>
        <v>9</v>
      </c>
      <c r="F7" s="21">
        <f t="shared" si="1"/>
        <v>4</v>
      </c>
      <c r="G7" s="21">
        <f t="shared" si="1"/>
        <v>3</v>
      </c>
      <c r="H7" s="21">
        <f t="shared" si="1"/>
        <v>2</v>
      </c>
    </row>
    <row r="8" spans="2:10" ht="19.899999999999999" customHeight="1" outlineLevel="1" x14ac:dyDescent="0.25">
      <c r="B8" s="14"/>
      <c r="D8" s="20">
        <v>3</v>
      </c>
      <c r="E8" s="17">
        <f t="shared" si="2"/>
        <v>14</v>
      </c>
      <c r="F8" s="21">
        <f t="shared" si="1"/>
        <v>5</v>
      </c>
      <c r="G8" s="21">
        <f t="shared" si="1"/>
        <v>5</v>
      </c>
      <c r="H8" s="21">
        <f t="shared" si="1"/>
        <v>4</v>
      </c>
    </row>
    <row r="9" spans="2:10" ht="19.899999999999999" customHeight="1" outlineLevel="1" x14ac:dyDescent="0.25">
      <c r="B9" s="14"/>
      <c r="D9" s="20">
        <v>4</v>
      </c>
      <c r="E9" s="17">
        <f t="shared" si="2"/>
        <v>9</v>
      </c>
      <c r="F9" s="21">
        <f t="shared" si="1"/>
        <v>3</v>
      </c>
      <c r="G9" s="21">
        <f t="shared" si="1"/>
        <v>4</v>
      </c>
      <c r="H9" s="21">
        <f t="shared" si="1"/>
        <v>2</v>
      </c>
    </row>
    <row r="10" spans="2:10" ht="6.75" customHeight="1" x14ac:dyDescent="0.25"/>
    <row r="11" spans="2:10" ht="19.350000000000001" customHeight="1" x14ac:dyDescent="0.25">
      <c r="B11" s="30" t="s">
        <v>3</v>
      </c>
      <c r="C11" s="30" t="s">
        <v>4</v>
      </c>
      <c r="D11" s="30" t="s">
        <v>5</v>
      </c>
      <c r="E11" s="30" t="s">
        <v>6</v>
      </c>
      <c r="F11" s="28" t="s">
        <v>7</v>
      </c>
      <c r="G11" s="29" t="s">
        <v>8</v>
      </c>
      <c r="H11" s="29"/>
      <c r="I11" s="29"/>
      <c r="J11" s="29"/>
    </row>
    <row r="12" spans="2:10" ht="19.350000000000001" customHeight="1" x14ac:dyDescent="0.25">
      <c r="B12" s="30"/>
      <c r="C12" s="30"/>
      <c r="D12" s="30"/>
      <c r="E12" s="30"/>
      <c r="F12" s="28"/>
      <c r="G12" s="6" t="s">
        <v>9</v>
      </c>
      <c r="H12" s="6" t="s">
        <v>10</v>
      </c>
      <c r="I12" s="6" t="s">
        <v>11</v>
      </c>
      <c r="J12" s="6" t="s">
        <v>12</v>
      </c>
    </row>
    <row r="13" spans="2:10" s="15" customFormat="1" ht="12.75" x14ac:dyDescent="0.25">
      <c r="B13" s="22" t="str">
        <f t="shared" ref="B13:J13" si="3">"("&amp;COLUMN()-COLUMN($A$13)&amp;")"</f>
        <v>(1)</v>
      </c>
      <c r="C13" s="22" t="str">
        <f t="shared" si="3"/>
        <v>(2)</v>
      </c>
      <c r="D13" s="22" t="str">
        <f t="shared" si="3"/>
        <v>(3)</v>
      </c>
      <c r="E13" s="22" t="str">
        <f t="shared" si="3"/>
        <v>(4)</v>
      </c>
      <c r="F13" s="22" t="str">
        <f t="shared" si="3"/>
        <v>(5)</v>
      </c>
      <c r="G13" s="22" t="str">
        <f t="shared" si="3"/>
        <v>(6)</v>
      </c>
      <c r="H13" s="22" t="str">
        <f t="shared" si="3"/>
        <v>(7)</v>
      </c>
      <c r="I13" s="22" t="str">
        <f t="shared" si="3"/>
        <v>(8)</v>
      </c>
      <c r="J13" s="22" t="str">
        <f t="shared" si="3"/>
        <v>(9)</v>
      </c>
    </row>
    <row r="14" spans="2:10" ht="76.5" x14ac:dyDescent="0.25">
      <c r="B14" s="1">
        <f>ROW()-ROW($B$13)</f>
        <v>1</v>
      </c>
      <c r="C14" s="2">
        <v>1</v>
      </c>
      <c r="D14" s="3" t="s">
        <v>13</v>
      </c>
      <c r="E14" s="2">
        <v>1</v>
      </c>
      <c r="F14" s="5" t="s">
        <v>269</v>
      </c>
      <c r="G14" s="9" t="s">
        <v>270</v>
      </c>
      <c r="H14" s="7" t="s">
        <v>271</v>
      </c>
      <c r="I14" s="7" t="s">
        <v>272</v>
      </c>
      <c r="J14" s="7" t="s">
        <v>273</v>
      </c>
    </row>
    <row r="15" spans="2:10" ht="102" x14ac:dyDescent="0.25">
      <c r="B15" s="1">
        <f t="shared" ref="B15:B24" si="4">ROW()-ROW($B$13)</f>
        <v>2</v>
      </c>
      <c r="C15" s="2">
        <v>1</v>
      </c>
      <c r="D15" s="3" t="s">
        <v>13</v>
      </c>
      <c r="E15" s="2">
        <v>1</v>
      </c>
      <c r="F15" s="5" t="s">
        <v>24</v>
      </c>
      <c r="G15" s="10" t="s">
        <v>25</v>
      </c>
      <c r="H15" s="3" t="s">
        <v>26</v>
      </c>
      <c r="I15" s="3" t="s">
        <v>27</v>
      </c>
      <c r="J15" s="3" t="s">
        <v>28</v>
      </c>
    </row>
    <row r="16" spans="2:10" ht="102" x14ac:dyDescent="0.25">
      <c r="B16" s="1">
        <f t="shared" si="4"/>
        <v>3</v>
      </c>
      <c r="C16" s="2">
        <v>1</v>
      </c>
      <c r="D16" s="3" t="s">
        <v>13</v>
      </c>
      <c r="E16" s="2">
        <v>1</v>
      </c>
      <c r="F16" s="5" t="s">
        <v>29</v>
      </c>
      <c r="G16" s="10" t="s">
        <v>30</v>
      </c>
      <c r="H16" s="3" t="s">
        <v>31</v>
      </c>
      <c r="I16" s="3" t="s">
        <v>32</v>
      </c>
      <c r="J16" s="3" t="s">
        <v>33</v>
      </c>
    </row>
    <row r="17" spans="2:10" ht="89.25" x14ac:dyDescent="0.25">
      <c r="B17" s="1">
        <f t="shared" si="4"/>
        <v>4</v>
      </c>
      <c r="C17" s="2">
        <v>1</v>
      </c>
      <c r="D17" s="3" t="s">
        <v>13</v>
      </c>
      <c r="E17" s="2">
        <v>1</v>
      </c>
      <c r="F17" s="5" t="s">
        <v>34</v>
      </c>
      <c r="G17" s="10" t="s">
        <v>35</v>
      </c>
      <c r="H17" s="3" t="s">
        <v>36</v>
      </c>
      <c r="I17" s="3" t="s">
        <v>37</v>
      </c>
      <c r="J17" s="3" t="s">
        <v>38</v>
      </c>
    </row>
    <row r="18" spans="2:10" ht="51" x14ac:dyDescent="0.25">
      <c r="B18" s="1">
        <f t="shared" si="4"/>
        <v>5</v>
      </c>
      <c r="C18" s="2">
        <v>1</v>
      </c>
      <c r="D18" s="3" t="s">
        <v>13</v>
      </c>
      <c r="E18" s="2">
        <v>2</v>
      </c>
      <c r="F18" s="5" t="s">
        <v>44</v>
      </c>
      <c r="G18" s="11" t="s">
        <v>45</v>
      </c>
      <c r="H18" s="8" t="s">
        <v>46</v>
      </c>
      <c r="I18" s="8" t="s">
        <v>47</v>
      </c>
      <c r="J18" s="8" t="s">
        <v>48</v>
      </c>
    </row>
    <row r="19" spans="2:10" ht="63.75" x14ac:dyDescent="0.25">
      <c r="B19" s="1">
        <f t="shared" si="4"/>
        <v>6</v>
      </c>
      <c r="C19" s="2">
        <v>1</v>
      </c>
      <c r="D19" s="3" t="s">
        <v>13</v>
      </c>
      <c r="E19" s="2">
        <v>2</v>
      </c>
      <c r="F19" s="5" t="s">
        <v>49</v>
      </c>
      <c r="G19" s="11" t="s">
        <v>50</v>
      </c>
      <c r="H19" s="8" t="s">
        <v>51</v>
      </c>
      <c r="I19" s="8" t="s">
        <v>52</v>
      </c>
      <c r="J19" s="8" t="s">
        <v>53</v>
      </c>
    </row>
    <row r="20" spans="2:10" ht="75.75" customHeight="1" x14ac:dyDescent="0.25">
      <c r="B20" s="1">
        <f t="shared" si="4"/>
        <v>7</v>
      </c>
      <c r="C20" s="2">
        <v>1</v>
      </c>
      <c r="D20" s="3" t="s">
        <v>13</v>
      </c>
      <c r="E20" s="2">
        <v>2</v>
      </c>
      <c r="F20" s="5" t="s">
        <v>274</v>
      </c>
      <c r="G20" s="10" t="s">
        <v>270</v>
      </c>
      <c r="H20" s="3" t="s">
        <v>271</v>
      </c>
      <c r="I20" s="3" t="s">
        <v>272</v>
      </c>
      <c r="J20" s="3" t="s">
        <v>273</v>
      </c>
    </row>
    <row r="21" spans="2:10" ht="51" x14ac:dyDescent="0.25">
      <c r="B21" s="1">
        <f t="shared" si="4"/>
        <v>8</v>
      </c>
      <c r="C21" s="2">
        <v>1</v>
      </c>
      <c r="D21" s="3" t="s">
        <v>13</v>
      </c>
      <c r="E21" s="2">
        <v>2</v>
      </c>
      <c r="F21" s="5" t="s">
        <v>59</v>
      </c>
      <c r="G21" s="10" t="s">
        <v>60</v>
      </c>
      <c r="H21" s="3" t="s">
        <v>61</v>
      </c>
      <c r="I21" s="3" t="s">
        <v>62</v>
      </c>
      <c r="J21" s="3" t="s">
        <v>63</v>
      </c>
    </row>
    <row r="22" spans="2:10" ht="63.75" x14ac:dyDescent="0.25">
      <c r="B22" s="1">
        <f t="shared" si="4"/>
        <v>9</v>
      </c>
      <c r="C22" s="2">
        <v>1</v>
      </c>
      <c r="D22" s="3" t="s">
        <v>13</v>
      </c>
      <c r="E22" s="2">
        <v>3</v>
      </c>
      <c r="F22" s="5" t="s">
        <v>69</v>
      </c>
      <c r="G22" s="10" t="s">
        <v>70</v>
      </c>
      <c r="H22" s="3" t="s">
        <v>71</v>
      </c>
      <c r="I22" s="3" t="s">
        <v>72</v>
      </c>
      <c r="J22" s="3" t="s">
        <v>73</v>
      </c>
    </row>
    <row r="23" spans="2:10" ht="75.75" customHeight="1" x14ac:dyDescent="0.25">
      <c r="B23" s="1">
        <f t="shared" si="4"/>
        <v>10</v>
      </c>
      <c r="C23" s="2">
        <v>1</v>
      </c>
      <c r="D23" s="3" t="s">
        <v>13</v>
      </c>
      <c r="E23" s="2">
        <v>3</v>
      </c>
      <c r="F23" s="5" t="s">
        <v>275</v>
      </c>
      <c r="G23" s="10" t="s">
        <v>270</v>
      </c>
      <c r="H23" s="3" t="s">
        <v>271</v>
      </c>
      <c r="I23" s="3" t="s">
        <v>272</v>
      </c>
      <c r="J23" s="3" t="s">
        <v>273</v>
      </c>
    </row>
    <row r="24" spans="2:10" ht="51" x14ac:dyDescent="0.25">
      <c r="B24" s="1">
        <f t="shared" si="4"/>
        <v>11</v>
      </c>
      <c r="C24" s="2">
        <v>1</v>
      </c>
      <c r="D24" s="3" t="s">
        <v>13</v>
      </c>
      <c r="E24" s="2">
        <v>3</v>
      </c>
      <c r="F24" s="5" t="s">
        <v>79</v>
      </c>
      <c r="G24" s="9" t="s">
        <v>80</v>
      </c>
      <c r="H24" s="7" t="s">
        <v>81</v>
      </c>
      <c r="I24" s="7" t="s">
        <v>82</v>
      </c>
      <c r="J24" s="7" t="s">
        <v>83</v>
      </c>
    </row>
    <row r="25" spans="2:10" ht="76.5" x14ac:dyDescent="0.25">
      <c r="B25" s="1">
        <f t="shared" ref="B25:B46" si="5">ROW()-ROW($B$13)</f>
        <v>12</v>
      </c>
      <c r="C25" s="2">
        <v>1</v>
      </c>
      <c r="D25" s="3" t="s">
        <v>13</v>
      </c>
      <c r="E25" s="2">
        <v>3</v>
      </c>
      <c r="F25" s="5" t="s">
        <v>89</v>
      </c>
      <c r="G25" s="10" t="s">
        <v>90</v>
      </c>
      <c r="H25" s="3" t="s">
        <v>91</v>
      </c>
      <c r="I25" s="3" t="s">
        <v>92</v>
      </c>
      <c r="J25" s="3" t="s">
        <v>93</v>
      </c>
    </row>
    <row r="26" spans="2:10" ht="138" customHeight="1" x14ac:dyDescent="0.25">
      <c r="B26" s="1">
        <f t="shared" si="5"/>
        <v>13</v>
      </c>
      <c r="C26" s="2">
        <v>1</v>
      </c>
      <c r="D26" s="3" t="s">
        <v>13</v>
      </c>
      <c r="E26" s="2">
        <v>3</v>
      </c>
      <c r="F26" s="5" t="s">
        <v>94</v>
      </c>
      <c r="G26" s="10" t="s">
        <v>95</v>
      </c>
      <c r="H26" s="3" t="s">
        <v>96</v>
      </c>
      <c r="I26" s="3" t="s">
        <v>97</v>
      </c>
      <c r="J26" s="3" t="s">
        <v>98</v>
      </c>
    </row>
    <row r="27" spans="2:10" ht="76.5" hidden="1" x14ac:dyDescent="0.25">
      <c r="B27" s="1">
        <f t="shared" si="5"/>
        <v>14</v>
      </c>
      <c r="C27" s="2">
        <v>1</v>
      </c>
      <c r="D27" s="3" t="s">
        <v>13</v>
      </c>
      <c r="E27" s="2">
        <v>4</v>
      </c>
      <c r="F27" s="5" t="s">
        <v>99</v>
      </c>
      <c r="G27" s="10" t="s">
        <v>100</v>
      </c>
      <c r="H27" s="3" t="s">
        <v>101</v>
      </c>
      <c r="I27" s="3" t="s">
        <v>102</v>
      </c>
      <c r="J27" s="3" t="s">
        <v>103</v>
      </c>
    </row>
    <row r="28" spans="2:10" ht="63.75" hidden="1" x14ac:dyDescent="0.25">
      <c r="B28" s="1">
        <f t="shared" si="5"/>
        <v>15</v>
      </c>
      <c r="C28" s="2">
        <v>1</v>
      </c>
      <c r="D28" s="3" t="s">
        <v>13</v>
      </c>
      <c r="E28" s="2">
        <v>4</v>
      </c>
      <c r="F28" s="5" t="s">
        <v>104</v>
      </c>
      <c r="G28" s="10" t="s">
        <v>105</v>
      </c>
      <c r="H28" s="3" t="s">
        <v>106</v>
      </c>
      <c r="I28" s="3" t="s">
        <v>107</v>
      </c>
      <c r="J28" s="3" t="s">
        <v>108</v>
      </c>
    </row>
    <row r="29" spans="2:10" ht="59.25" hidden="1" customHeight="1" x14ac:dyDescent="0.25">
      <c r="B29" s="1">
        <f t="shared" si="5"/>
        <v>16</v>
      </c>
      <c r="C29" s="2">
        <v>1</v>
      </c>
      <c r="D29" s="3" t="s">
        <v>13</v>
      </c>
      <c r="E29" s="2">
        <v>4</v>
      </c>
      <c r="F29" s="5" t="s">
        <v>109</v>
      </c>
      <c r="G29" s="11" t="s">
        <v>110</v>
      </c>
      <c r="H29" s="8" t="s">
        <v>111</v>
      </c>
      <c r="I29" s="8" t="s">
        <v>112</v>
      </c>
      <c r="J29" s="8" t="s">
        <v>113</v>
      </c>
    </row>
    <row r="30" spans="2:10" ht="62.25" customHeight="1" x14ac:dyDescent="0.25">
      <c r="B30" s="1">
        <f t="shared" si="5"/>
        <v>17</v>
      </c>
      <c r="C30" s="2">
        <v>2</v>
      </c>
      <c r="D30" s="3" t="s">
        <v>114</v>
      </c>
      <c r="E30" s="2">
        <v>1</v>
      </c>
      <c r="F30" s="5" t="s">
        <v>115</v>
      </c>
      <c r="G30" s="11" t="s">
        <v>116</v>
      </c>
      <c r="H30" s="8" t="s">
        <v>117</v>
      </c>
      <c r="I30" s="8" t="s">
        <v>118</v>
      </c>
      <c r="J30" s="8" t="s">
        <v>119</v>
      </c>
    </row>
    <row r="31" spans="2:10" ht="76.5" x14ac:dyDescent="0.25">
      <c r="B31" s="1">
        <f t="shared" si="5"/>
        <v>18</v>
      </c>
      <c r="C31" s="2">
        <v>2</v>
      </c>
      <c r="D31" s="3" t="s">
        <v>114</v>
      </c>
      <c r="E31" s="2">
        <v>1</v>
      </c>
      <c r="F31" s="5" t="s">
        <v>276</v>
      </c>
      <c r="G31" s="11" t="s">
        <v>270</v>
      </c>
      <c r="H31" s="8" t="s">
        <v>271</v>
      </c>
      <c r="I31" s="8" t="s">
        <v>272</v>
      </c>
      <c r="J31" s="8" t="s">
        <v>273</v>
      </c>
    </row>
    <row r="32" spans="2:10" ht="151.5" customHeight="1" x14ac:dyDescent="0.25">
      <c r="B32" s="1">
        <f t="shared" si="5"/>
        <v>19</v>
      </c>
      <c r="C32" s="2">
        <v>2</v>
      </c>
      <c r="D32" s="3" t="s">
        <v>114</v>
      </c>
      <c r="E32" s="2">
        <v>1</v>
      </c>
      <c r="F32" s="5" t="s">
        <v>125</v>
      </c>
      <c r="G32" s="10" t="s">
        <v>126</v>
      </c>
      <c r="H32" s="3" t="s">
        <v>37</v>
      </c>
      <c r="I32" s="3" t="s">
        <v>127</v>
      </c>
      <c r="J32" s="3" t="s">
        <v>38</v>
      </c>
    </row>
    <row r="33" spans="2:10" ht="191.25" customHeight="1" x14ac:dyDescent="0.25">
      <c r="B33" s="1">
        <f t="shared" si="5"/>
        <v>20</v>
      </c>
      <c r="C33" s="2">
        <v>2</v>
      </c>
      <c r="D33" s="3" t="s">
        <v>114</v>
      </c>
      <c r="E33" s="2">
        <v>1</v>
      </c>
      <c r="F33" s="5" t="s">
        <v>128</v>
      </c>
      <c r="G33" s="10" t="s">
        <v>129</v>
      </c>
      <c r="H33" s="3" t="s">
        <v>130</v>
      </c>
      <c r="I33" s="3" t="s">
        <v>131</v>
      </c>
      <c r="J33" s="3" t="s">
        <v>132</v>
      </c>
    </row>
    <row r="34" spans="2:10" ht="51" x14ac:dyDescent="0.25">
      <c r="B34" s="1">
        <f t="shared" si="5"/>
        <v>21</v>
      </c>
      <c r="C34" s="2">
        <v>2</v>
      </c>
      <c r="D34" s="3" t="s">
        <v>114</v>
      </c>
      <c r="E34" s="2">
        <v>1</v>
      </c>
      <c r="F34" s="5" t="s">
        <v>133</v>
      </c>
      <c r="G34" s="10" t="s">
        <v>134</v>
      </c>
      <c r="H34" s="3" t="s">
        <v>135</v>
      </c>
      <c r="I34" s="3" t="s">
        <v>136</v>
      </c>
      <c r="J34" s="3" t="s">
        <v>137</v>
      </c>
    </row>
    <row r="35" spans="2:10" ht="90.75" customHeight="1" x14ac:dyDescent="0.25">
      <c r="B35" s="1">
        <f t="shared" si="5"/>
        <v>22</v>
      </c>
      <c r="C35" s="2">
        <v>2</v>
      </c>
      <c r="D35" s="3" t="s">
        <v>114</v>
      </c>
      <c r="E35" s="2">
        <v>2</v>
      </c>
      <c r="F35" s="5" t="s">
        <v>143</v>
      </c>
      <c r="G35" s="10" t="s">
        <v>144</v>
      </c>
      <c r="H35" s="3" t="s">
        <v>145</v>
      </c>
      <c r="I35" s="3" t="s">
        <v>146</v>
      </c>
      <c r="J35" s="3" t="s">
        <v>147</v>
      </c>
    </row>
    <row r="36" spans="2:10" ht="91.5" customHeight="1" x14ac:dyDescent="0.25">
      <c r="B36" s="1">
        <f t="shared" si="5"/>
        <v>23</v>
      </c>
      <c r="C36" s="2">
        <v>2</v>
      </c>
      <c r="D36" s="3" t="s">
        <v>114</v>
      </c>
      <c r="E36" s="2">
        <v>2</v>
      </c>
      <c r="F36" s="5" t="s">
        <v>148</v>
      </c>
      <c r="G36" s="10" t="s">
        <v>149</v>
      </c>
      <c r="H36" s="3" t="s">
        <v>150</v>
      </c>
      <c r="I36" s="3" t="s">
        <v>151</v>
      </c>
      <c r="J36" s="3" t="s">
        <v>152</v>
      </c>
    </row>
    <row r="37" spans="2:10" ht="51" x14ac:dyDescent="0.25">
      <c r="B37" s="1">
        <f t="shared" si="5"/>
        <v>24</v>
      </c>
      <c r="C37" s="2">
        <v>2</v>
      </c>
      <c r="D37" s="3" t="s">
        <v>114</v>
      </c>
      <c r="E37" s="2">
        <v>2</v>
      </c>
      <c r="F37" s="5" t="s">
        <v>158</v>
      </c>
      <c r="G37" s="10" t="s">
        <v>159</v>
      </c>
      <c r="H37" s="3" t="s">
        <v>160</v>
      </c>
      <c r="I37" s="3" t="s">
        <v>161</v>
      </c>
      <c r="J37" s="3" t="s">
        <v>162</v>
      </c>
    </row>
    <row r="38" spans="2:10" ht="51" x14ac:dyDescent="0.25">
      <c r="B38" s="1">
        <f t="shared" si="5"/>
        <v>25</v>
      </c>
      <c r="C38" s="2">
        <v>2</v>
      </c>
      <c r="D38" s="3" t="s">
        <v>114</v>
      </c>
      <c r="E38" s="2">
        <v>3</v>
      </c>
      <c r="F38" s="5" t="s">
        <v>163</v>
      </c>
      <c r="G38" s="10" t="s">
        <v>164</v>
      </c>
      <c r="H38" s="3" t="s">
        <v>165</v>
      </c>
      <c r="I38" s="3" t="s">
        <v>166</v>
      </c>
      <c r="J38" s="3" t="s">
        <v>167</v>
      </c>
    </row>
    <row r="39" spans="2:10" s="27" customFormat="1" ht="63.75" x14ac:dyDescent="0.25">
      <c r="B39" s="23">
        <f t="shared" si="5"/>
        <v>26</v>
      </c>
      <c r="C39" s="24">
        <v>2</v>
      </c>
      <c r="D39" s="25" t="s">
        <v>114</v>
      </c>
      <c r="E39" s="24">
        <v>3</v>
      </c>
      <c r="F39" s="25" t="s">
        <v>168</v>
      </c>
      <c r="G39" s="26" t="s">
        <v>169</v>
      </c>
      <c r="H39" s="26" t="s">
        <v>170</v>
      </c>
      <c r="I39" s="26" t="s">
        <v>171</v>
      </c>
      <c r="J39" s="26" t="s">
        <v>172</v>
      </c>
    </row>
    <row r="40" spans="2:10" ht="155.25" customHeight="1" x14ac:dyDescent="0.25">
      <c r="B40" s="1">
        <f t="shared" si="5"/>
        <v>27</v>
      </c>
      <c r="C40" s="2">
        <v>2</v>
      </c>
      <c r="D40" s="3" t="s">
        <v>114</v>
      </c>
      <c r="E40" s="2">
        <v>3</v>
      </c>
      <c r="F40" s="5" t="s">
        <v>173</v>
      </c>
      <c r="G40" s="11" t="s">
        <v>174</v>
      </c>
      <c r="H40" s="8" t="s">
        <v>175</v>
      </c>
      <c r="I40" s="8" t="s">
        <v>176</v>
      </c>
      <c r="J40" s="8" t="s">
        <v>177</v>
      </c>
    </row>
    <row r="41" spans="2:10" ht="89.25" x14ac:dyDescent="0.25">
      <c r="B41" s="1">
        <f t="shared" si="5"/>
        <v>28</v>
      </c>
      <c r="C41" s="2">
        <v>2</v>
      </c>
      <c r="D41" s="3" t="s">
        <v>114</v>
      </c>
      <c r="E41" s="2">
        <v>3</v>
      </c>
      <c r="F41" s="5" t="s">
        <v>178</v>
      </c>
      <c r="G41" s="11" t="s">
        <v>179</v>
      </c>
      <c r="H41" s="8" t="s">
        <v>180</v>
      </c>
      <c r="I41" s="8" t="s">
        <v>181</v>
      </c>
      <c r="J41" s="8" t="s">
        <v>182</v>
      </c>
    </row>
    <row r="42" spans="2:10" ht="102" x14ac:dyDescent="0.25">
      <c r="B42" s="1">
        <f t="shared" si="5"/>
        <v>29</v>
      </c>
      <c r="C42" s="2">
        <v>2</v>
      </c>
      <c r="D42" s="3" t="s">
        <v>114</v>
      </c>
      <c r="E42" s="2">
        <v>3</v>
      </c>
      <c r="F42" s="5" t="s">
        <v>183</v>
      </c>
      <c r="G42" s="11" t="s">
        <v>184</v>
      </c>
      <c r="H42" s="8" t="s">
        <v>185</v>
      </c>
      <c r="I42" s="8" t="s">
        <v>186</v>
      </c>
      <c r="J42" s="8" t="s">
        <v>187</v>
      </c>
    </row>
    <row r="43" spans="2:10" ht="76.5" hidden="1" x14ac:dyDescent="0.25">
      <c r="B43" s="1">
        <f t="shared" si="5"/>
        <v>30</v>
      </c>
      <c r="C43" s="2">
        <v>2</v>
      </c>
      <c r="D43" s="3" t="s">
        <v>114</v>
      </c>
      <c r="E43" s="2">
        <v>4</v>
      </c>
      <c r="F43" s="5" t="s">
        <v>188</v>
      </c>
      <c r="G43" s="10" t="s">
        <v>189</v>
      </c>
      <c r="H43" s="3" t="s">
        <v>190</v>
      </c>
      <c r="I43" s="3" t="s">
        <v>191</v>
      </c>
      <c r="J43" s="3" t="s">
        <v>192</v>
      </c>
    </row>
    <row r="44" spans="2:10" ht="159.75" hidden="1" customHeight="1" x14ac:dyDescent="0.25">
      <c r="B44" s="1">
        <f t="shared" si="5"/>
        <v>31</v>
      </c>
      <c r="C44" s="2">
        <v>2</v>
      </c>
      <c r="D44" s="3" t="s">
        <v>114</v>
      </c>
      <c r="E44" s="2">
        <v>4</v>
      </c>
      <c r="F44" s="5" t="s">
        <v>193</v>
      </c>
      <c r="G44" s="10" t="s">
        <v>194</v>
      </c>
      <c r="H44" s="3" t="s">
        <v>195</v>
      </c>
      <c r="I44" s="3" t="s">
        <v>196</v>
      </c>
      <c r="J44" s="3" t="s">
        <v>197</v>
      </c>
    </row>
    <row r="45" spans="2:10" ht="127.5" hidden="1" x14ac:dyDescent="0.25">
      <c r="B45" s="1">
        <f t="shared" si="5"/>
        <v>32</v>
      </c>
      <c r="C45" s="2">
        <v>2</v>
      </c>
      <c r="D45" s="3" t="s">
        <v>114</v>
      </c>
      <c r="E45" s="2">
        <v>4</v>
      </c>
      <c r="F45" s="5" t="s">
        <v>198</v>
      </c>
      <c r="G45" s="9" t="s">
        <v>199</v>
      </c>
      <c r="H45" s="7" t="s">
        <v>200</v>
      </c>
      <c r="I45" s="7" t="s">
        <v>201</v>
      </c>
      <c r="J45" s="7" t="s">
        <v>202</v>
      </c>
    </row>
    <row r="46" spans="2:10" ht="51" hidden="1" x14ac:dyDescent="0.25">
      <c r="B46" s="1">
        <f t="shared" si="5"/>
        <v>33</v>
      </c>
      <c r="C46" s="2">
        <v>2</v>
      </c>
      <c r="D46" s="3" t="s">
        <v>114</v>
      </c>
      <c r="E46" s="2">
        <v>4</v>
      </c>
      <c r="F46" s="5" t="s">
        <v>203</v>
      </c>
      <c r="G46" s="10" t="s">
        <v>204</v>
      </c>
      <c r="H46" s="3" t="s">
        <v>205</v>
      </c>
      <c r="I46" s="3" t="s">
        <v>206</v>
      </c>
      <c r="J46" s="3" t="s">
        <v>207</v>
      </c>
    </row>
    <row r="47" spans="2:10" ht="63.75" x14ac:dyDescent="0.25">
      <c r="B47" s="1">
        <f>ROW()-ROW($B$13)</f>
        <v>34</v>
      </c>
      <c r="C47" s="2">
        <v>3</v>
      </c>
      <c r="D47" s="3" t="s">
        <v>208</v>
      </c>
      <c r="E47" s="2">
        <v>1</v>
      </c>
      <c r="F47" s="5" t="s">
        <v>209</v>
      </c>
      <c r="G47" s="9" t="s">
        <v>210</v>
      </c>
      <c r="H47" s="7" t="s">
        <v>211</v>
      </c>
      <c r="I47" s="7" t="s">
        <v>212</v>
      </c>
      <c r="J47" s="7" t="s">
        <v>213</v>
      </c>
    </row>
    <row r="48" spans="2:10" ht="63.75" x14ac:dyDescent="0.25">
      <c r="B48" s="1">
        <f t="shared" ref="B48:B57" si="6">ROW()-ROW($B$13)</f>
        <v>35</v>
      </c>
      <c r="C48" s="2">
        <v>3</v>
      </c>
      <c r="D48" s="3" t="s">
        <v>208</v>
      </c>
      <c r="E48" s="2">
        <v>1</v>
      </c>
      <c r="F48" s="5" t="s">
        <v>214</v>
      </c>
      <c r="G48" s="10" t="s">
        <v>215</v>
      </c>
      <c r="H48" s="3" t="s">
        <v>216</v>
      </c>
      <c r="I48" s="3" t="s">
        <v>217</v>
      </c>
      <c r="J48" s="3" t="s">
        <v>218</v>
      </c>
    </row>
    <row r="49" spans="2:10" ht="63.75" x14ac:dyDescent="0.25">
      <c r="B49" s="1">
        <f t="shared" si="6"/>
        <v>36</v>
      </c>
      <c r="C49" s="2">
        <v>3</v>
      </c>
      <c r="D49" s="3" t="s">
        <v>208</v>
      </c>
      <c r="E49" s="2">
        <v>1</v>
      </c>
      <c r="F49" s="5" t="s">
        <v>219</v>
      </c>
      <c r="G49" s="10" t="s">
        <v>220</v>
      </c>
      <c r="H49" s="3" t="s">
        <v>221</v>
      </c>
      <c r="I49" s="3" t="s">
        <v>222</v>
      </c>
      <c r="J49" s="3" t="s">
        <v>223</v>
      </c>
    </row>
    <row r="50" spans="2:10" ht="114.75" x14ac:dyDescent="0.25">
      <c r="B50" s="1">
        <f t="shared" si="6"/>
        <v>37</v>
      </c>
      <c r="C50" s="2">
        <v>3</v>
      </c>
      <c r="D50" s="3" t="s">
        <v>208</v>
      </c>
      <c r="E50" s="2">
        <v>2</v>
      </c>
      <c r="F50" s="5" t="s">
        <v>229</v>
      </c>
      <c r="G50" s="10" t="s">
        <v>230</v>
      </c>
      <c r="H50" s="3" t="s">
        <v>231</v>
      </c>
      <c r="I50" s="3" t="s">
        <v>232</v>
      </c>
      <c r="J50" s="3" t="s">
        <v>233</v>
      </c>
    </row>
    <row r="51" spans="2:10" ht="89.25" x14ac:dyDescent="0.25">
      <c r="B51" s="1">
        <f t="shared" si="6"/>
        <v>38</v>
      </c>
      <c r="C51" s="2">
        <v>3</v>
      </c>
      <c r="D51" s="3" t="s">
        <v>208</v>
      </c>
      <c r="E51" s="2">
        <v>2</v>
      </c>
      <c r="F51" s="5" t="s">
        <v>234</v>
      </c>
      <c r="G51" s="10" t="s">
        <v>235</v>
      </c>
      <c r="H51" s="3" t="s">
        <v>236</v>
      </c>
      <c r="I51" s="3" t="s">
        <v>237</v>
      </c>
      <c r="J51" s="3" t="s">
        <v>238</v>
      </c>
    </row>
    <row r="52" spans="2:10" ht="63.75" x14ac:dyDescent="0.25">
      <c r="B52" s="1">
        <f t="shared" si="6"/>
        <v>39</v>
      </c>
      <c r="C52" s="2">
        <v>3</v>
      </c>
      <c r="D52" s="3" t="s">
        <v>208</v>
      </c>
      <c r="E52" s="2">
        <v>3</v>
      </c>
      <c r="F52" s="5" t="s">
        <v>239</v>
      </c>
      <c r="G52" s="11" t="s">
        <v>240</v>
      </c>
      <c r="H52" s="8" t="s">
        <v>241</v>
      </c>
      <c r="I52" s="8" t="s">
        <v>242</v>
      </c>
      <c r="J52" s="8" t="s">
        <v>243</v>
      </c>
    </row>
    <row r="53" spans="2:10" ht="102" x14ac:dyDescent="0.25">
      <c r="B53" s="1">
        <f t="shared" si="6"/>
        <v>40</v>
      </c>
      <c r="C53" s="2">
        <v>3</v>
      </c>
      <c r="D53" s="3" t="s">
        <v>208</v>
      </c>
      <c r="E53" s="2">
        <v>3</v>
      </c>
      <c r="F53" s="5" t="s">
        <v>244</v>
      </c>
      <c r="G53" s="10" t="s">
        <v>245</v>
      </c>
      <c r="H53" s="3" t="s">
        <v>246</v>
      </c>
      <c r="I53" s="3" t="s">
        <v>247</v>
      </c>
      <c r="J53" s="3" t="s">
        <v>248</v>
      </c>
    </row>
    <row r="54" spans="2:10" ht="63.75" x14ac:dyDescent="0.25">
      <c r="B54" s="1">
        <f t="shared" si="6"/>
        <v>41</v>
      </c>
      <c r="C54" s="2">
        <v>3</v>
      </c>
      <c r="D54" s="3" t="s">
        <v>208</v>
      </c>
      <c r="E54" s="2">
        <v>3</v>
      </c>
      <c r="F54" s="5" t="s">
        <v>249</v>
      </c>
      <c r="G54" s="10" t="s">
        <v>250</v>
      </c>
      <c r="H54" s="3" t="s">
        <v>251</v>
      </c>
      <c r="I54" s="3" t="s">
        <v>252</v>
      </c>
      <c r="J54" s="3" t="s">
        <v>253</v>
      </c>
    </row>
    <row r="55" spans="2:10" ht="127.5" x14ac:dyDescent="0.25">
      <c r="B55" s="1">
        <f t="shared" si="6"/>
        <v>42</v>
      </c>
      <c r="C55" s="2">
        <v>3</v>
      </c>
      <c r="D55" s="3" t="s">
        <v>208</v>
      </c>
      <c r="E55" s="2">
        <v>3</v>
      </c>
      <c r="F55" s="5" t="s">
        <v>254</v>
      </c>
      <c r="G55" s="10" t="s">
        <v>255</v>
      </c>
      <c r="H55" s="3" t="s">
        <v>256</v>
      </c>
      <c r="I55" s="3" t="s">
        <v>257</v>
      </c>
      <c r="J55" s="3" t="s">
        <v>258</v>
      </c>
    </row>
    <row r="56" spans="2:10" ht="63.75" hidden="1" x14ac:dyDescent="0.25">
      <c r="B56" s="1">
        <f t="shared" si="6"/>
        <v>43</v>
      </c>
      <c r="C56" s="2">
        <v>3</v>
      </c>
      <c r="D56" s="3" t="s">
        <v>208</v>
      </c>
      <c r="E56" s="2">
        <v>4</v>
      </c>
      <c r="F56" s="5" t="s">
        <v>259</v>
      </c>
      <c r="G56" s="11" t="s">
        <v>260</v>
      </c>
      <c r="H56" s="8" t="s">
        <v>261</v>
      </c>
      <c r="I56" s="8" t="s">
        <v>262</v>
      </c>
      <c r="J56" s="8" t="s">
        <v>263</v>
      </c>
    </row>
    <row r="57" spans="2:10" ht="63.75" hidden="1" x14ac:dyDescent="0.25">
      <c r="B57" s="1">
        <f t="shared" si="6"/>
        <v>44</v>
      </c>
      <c r="C57" s="2">
        <v>3</v>
      </c>
      <c r="D57" s="3" t="s">
        <v>208</v>
      </c>
      <c r="E57" s="2">
        <v>4</v>
      </c>
      <c r="F57" s="5" t="s">
        <v>264</v>
      </c>
      <c r="G57" s="10" t="s">
        <v>265</v>
      </c>
      <c r="H57" s="3" t="s">
        <v>266</v>
      </c>
      <c r="I57" s="3" t="s">
        <v>267</v>
      </c>
      <c r="J57" s="3" t="s">
        <v>268</v>
      </c>
    </row>
  </sheetData>
  <autoFilter ref="B13:M81" xr:uid="{B005C0B0-9D89-4729-AC6E-7F1010ED0730}">
    <filterColumn colId="3">
      <filters blank="1">
        <filter val="1"/>
        <filter val="2"/>
        <filter val="3"/>
      </filters>
    </filterColumn>
  </autoFilter>
  <mergeCells count="6">
    <mergeCell ref="G11:J11"/>
    <mergeCell ref="B11:B12"/>
    <mergeCell ref="C11:C12"/>
    <mergeCell ref="D11:D12"/>
    <mergeCell ref="E11:E12"/>
    <mergeCell ref="F11:F12"/>
  </mergeCells>
  <conditionalFormatting sqref="F6:H9">
    <cfRule type="expression" dxfId="0" priority="1">
      <formula>F6&lt;2</formula>
    </cfRule>
  </conditionalFormatting>
  <pageMargins left="0.18" right="0.15748031496062992" top="0.35433070866141736" bottom="0.27559055118110237" header="0.31496062992125984" footer="0.31496062992125984"/>
  <pageSetup paperSize="9" orientation="landscape" r:id="rId1"/>
  <colBreaks count="1" manualBreakCount="1">
    <brk id="10" max="1048575"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145C5B680827441B69CAB32F8A60E3F" ma:contentTypeVersion="4" ma:contentTypeDescription="Create a new document." ma:contentTypeScope="" ma:versionID="f4f8d7ee26dba98568fb6117f4f7fc8a">
  <xsd:schema xmlns:xsd="http://www.w3.org/2001/XMLSchema" xmlns:xs="http://www.w3.org/2001/XMLSchema" xmlns:p="http://schemas.microsoft.com/office/2006/metadata/properties" xmlns:ns2="683ca181-dc2f-41e0-9620-fc2aee1bcc1f" targetNamespace="http://schemas.microsoft.com/office/2006/metadata/properties" ma:root="true" ma:fieldsID="cadb348d7b8eb5e97c3a92bb04407089" ns2:_="">
    <xsd:import namespace="683ca181-dc2f-41e0-9620-fc2aee1bcc1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3ca181-dc2f-41e0-9620-fc2aee1bcc1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15327B7-5C03-4FFF-BD20-8FF08C02863B}">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0BAE91DF-7E11-462F-8F80-7C27286FA33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83ca181-dc2f-41e0-9620-fc2aee1bcc1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B07FB20-374D-47C9-BFE1-9E19D377CF38}">
  <ds:schemaRefs>
    <ds:schemaRef ds:uri="http://schemas.microsoft.com/sharepoint/v3/contenttype/forms"/>
  </ds:schemaRefs>
</ds:datastoreItem>
</file>

<file path=docMetadata/LabelInfo.xml><?xml version="1.0" encoding="utf-8"?>
<clbl:labelList xmlns:clbl="http://schemas.microsoft.com/office/2020/mipLabelMetadata">
  <clbl:label id="{8d793fc4-a71f-4652-9576-da0ac3edd3bb}" enabled="1" method="Standard" siteId="{8bc01b57-838e-4194-982d-4c58278d0de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Sheet1</vt:lpstr>
      <vt:lpstr>P30_final</vt:lpstr>
      <vt:lpstr>P30_final!Print_Area</vt:lpstr>
      <vt:lpstr>Sheet1!Print_Area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Nong Thi Huong</dc:creator>
  <cp:keywords/>
  <dc:description/>
  <cp:lastModifiedBy>Oanh, Kieu Thi Kim Oanh</cp:lastModifiedBy>
  <cp:revision/>
  <cp:lastPrinted>2025-08-05T08:48:03Z</cp:lastPrinted>
  <dcterms:created xsi:type="dcterms:W3CDTF">2025-07-01T11:38:19Z</dcterms:created>
  <dcterms:modified xsi:type="dcterms:W3CDTF">2025-08-06T14:40:05Z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0x010100C145C5B680827441B69CAB32F8A60E3F</vt:lpwstr>
  </property>
</Properties>
</file>