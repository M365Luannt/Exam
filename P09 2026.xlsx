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D:\Tài liệu\DGNL\DGNL-2026 2\DGNL-2026\"/>
    </mc:Choice>
  </mc:AlternateContent>
  <xr:revisionPtr revIDLastSave="0" documentId="13_ncr:1_{9D8A85CA-76D4-4F5A-BD91-4362B6CCC6D1}" xr6:coauthVersionLast="47" xr6:coauthVersionMax="47" xr10:uidLastSave="{00000000-0000-0000-0000-000000000000}"/>
  <bookViews>
    <workbookView xWindow="-120" yWindow="-120" windowWidth="29040" windowHeight="15720" xr2:uid="{0A323993-6B0E-4465-9440-DABB234748ED}"/>
  </bookViews>
  <sheets>
    <sheet name="P09" sheetId="1" r:id="rId1"/>
  </sheets>
  <definedNames>
    <definedName name="_xlnm._FilterDatabase" localSheetId="0" hidden="1">'P09'!$B$13:$M$137</definedName>
    <definedName name="_xlnm.Print_Area" localSheetId="0">'P09'!$B$1:$L$113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7" i="1" l="1"/>
  <c r="G7" i="1"/>
  <c r="H7" i="1"/>
  <c r="F8" i="1"/>
  <c r="G8" i="1"/>
  <c r="H8" i="1"/>
  <c r="F9" i="1"/>
  <c r="G9" i="1"/>
  <c r="H9" i="1"/>
  <c r="H6" i="1" l="1"/>
  <c r="G6" i="1"/>
  <c r="F6" i="1"/>
  <c r="B34" i="1"/>
  <c r="B33" i="1"/>
  <c r="B32" i="1"/>
  <c r="B31" i="1"/>
  <c r="B30" i="1"/>
  <c r="B29" i="1"/>
  <c r="B28" i="1"/>
  <c r="B27" i="1"/>
  <c r="B26" i="1"/>
  <c r="B25" i="1"/>
  <c r="B24" i="1"/>
  <c r="B23" i="1"/>
  <c r="B22" i="1"/>
  <c r="B21" i="1"/>
  <c r="B20" i="1"/>
  <c r="B19" i="1"/>
  <c r="B18" i="1"/>
  <c r="B17" i="1"/>
  <c r="B16" i="1"/>
  <c r="B15" i="1"/>
  <c r="B14" i="1"/>
  <c r="B55" i="1"/>
  <c r="B54" i="1"/>
  <c r="B53" i="1"/>
  <c r="B52" i="1"/>
  <c r="B51" i="1"/>
  <c r="B50" i="1"/>
  <c r="B49" i="1"/>
  <c r="B48" i="1"/>
  <c r="B47" i="1"/>
  <c r="B46" i="1"/>
  <c r="B45" i="1"/>
  <c r="B44" i="1"/>
  <c r="B43" i="1"/>
  <c r="B42" i="1"/>
  <c r="B41" i="1"/>
  <c r="B40" i="1"/>
  <c r="B39" i="1"/>
  <c r="B38" i="1"/>
  <c r="B37" i="1"/>
  <c r="B36" i="1"/>
  <c r="B35" i="1"/>
  <c r="B56" i="1"/>
  <c r="C13" i="1"/>
  <c r="D13" i="1"/>
  <c r="E13" i="1"/>
  <c r="F13" i="1"/>
  <c r="G13" i="1"/>
  <c r="H13" i="1"/>
  <c r="I13" i="1"/>
  <c r="J13" i="1"/>
  <c r="B13" i="1"/>
  <c r="H5" i="1" l="1"/>
  <c r="E8" i="1"/>
  <c r="E9" i="1"/>
  <c r="F5" i="1"/>
  <c r="E7" i="1"/>
  <c r="G5" i="1"/>
  <c r="E6" i="1"/>
  <c r="E5" i="1" l="1"/>
</calcChain>
</file>

<file path=xl/sharedStrings.xml><?xml version="1.0" encoding="utf-8"?>
<sst xmlns="http://schemas.openxmlformats.org/spreadsheetml/2006/main" count="270" uniqueCount="229">
  <si>
    <t>STT</t>
  </si>
  <si>
    <t>Mã khía cạnh</t>
  </si>
  <si>
    <t>Khía cạnh</t>
  </si>
  <si>
    <t>Cấp độ</t>
  </si>
  <si>
    <t>Đáp án đúng</t>
  </si>
  <si>
    <t>Phương án sai  1</t>
  </si>
  <si>
    <t>Phương án sai 2</t>
  </si>
  <si>
    <t>Phương án sai 3</t>
  </si>
  <si>
    <t>Câu hỏi</t>
  </si>
  <si>
    <t>Đáp án</t>
  </si>
  <si>
    <t xml:space="preserve">                        Khía cạnh
   Cấp độ                    </t>
  </si>
  <si>
    <t>TỔNG</t>
  </si>
  <si>
    <t>P09 - PHÂN TÍCH NGHIỆP VỤ</t>
  </si>
  <si>
    <t>Đề xuất, đánh giá và xác nhận giải pháp kỹ thuật: Kiểm tra, so sánh và xác nhận giải pháp kỹ thuật đảm bảo đáp ứng yêu cầu nghiệp vụ</t>
  </si>
  <si>
    <t>Trong quá trình trao đổi giữa nhóm phân tích nghiệp vụ và nhóm phát triển hệ thống, nhóm kỹ thuật cho biết một chức năng theo yêu cầu người dùng có độ phức tạp cao và chi phí phát triển lớn. Tuy nhiên, chức năng này không phải là trọng tâm trong giai đoạn hiện tại. Là người phân tích nghiệp vụ, Anh/Chị cần làm gì để đảm bảo giải pháp kỹ thuật vẫn đáp ứng mục tiêu chức năng?</t>
  </si>
  <si>
    <t>Đề xuất trì hoãn phát triển chức năng này sang giai đoạn sau và phối hợp với nhóm kỹ thuật để xác định phương án thay thế tạm thời hoặc đơn giản hóa chức năng.</t>
  </si>
  <si>
    <t>Tiếp tục giữ nguyên yêu cầu ban đầu, đồng thời đề nghị nhóm kỹ thuật phân tích phương án tối ưu hóa chi phí trong khi không thay đổi độ phức tạp kỹ thuật.</t>
  </si>
  <si>
    <t>Trình bày với lãnh đạo rằng chức năng này quan trọng về lâu dài nên cần phát triển ngay, đồng thời đề xuất bổ sung nguồn lực để đảm bảo tiến độ dự án.</t>
  </si>
  <si>
    <t>Giao toàn bộ quyền quyết định cho người dùng và nhóm kỹ thuật tự đàm phán và thống nhất giải pháp, tránh can thiệp quá sâu vào phần kỹ thuật.</t>
  </si>
  <si>
    <t>Khi làm việc với nhóm kỹ thuật để xác nhận các yêu cầu cơ bản của người dùng trong nghiệp vụ phụ trách, yếu tố nào sau đây cần được ưu tiên hàng đầu?</t>
  </si>
  <si>
    <t>- Tính khả thi về mặt kỹ thuật để phù hợp với yêu cầu nghiệp vụ
- Tính bảo mật và tuân thủ quy định
- Chức năng hệ thống dễ dàng sử dụng và tăng trải nghiệm người dùng
- khả năng mở rộng được trong tương lai</t>
  </si>
  <si>
    <t>- Tính khả thi về mặt kỹ thuật để phù hợp với yêu cầu nghiệp vụ
- Khả năng rút ngắn thời gian phát triển và kiểm thử.</t>
  </si>
  <si>
    <t>- Khả năng tùy biến và mở rộng cho hệ thống trong tương lai
- Áp dụng giải pháp công nghệ mới nhất để tăng tính hiện đại của sản phẩm</t>
  </si>
  <si>
    <t>- Chức năng hệ thống dễ dàng sử dụng và tăng trải nghiệm người dùng
- Khả năng mợ rộng cho hệ thống để đáp ứng nhu cầu giao dịch từ đối tác và khách hàng quốc tế</t>
  </si>
  <si>
    <t>Trong giai đoạn phân tích nghiệp vụ, việc phối hợp với nhóm phát triển hệ thống giúp đảm bảo yếu tố nào sau đây về an toàn thông tin?</t>
  </si>
  <si>
    <t>Yêu cầu bảo mật được hiểu rõ và tích hợp vào thiết kế hệ thống ngay từ đầu</t>
  </si>
  <si>
    <t>Nhóm phát triển có thể tự bổ sung bảo mật nên không cần phối hợp</t>
  </si>
  <si>
    <t>Chỉ nên đề cập đến bảo mật khi dự án đã sắp triển khai</t>
  </si>
  <si>
    <t>Đội nghiệp vụ chỉ cần quan tâm đến chức năng, không liên quan đến bảo mật</t>
  </si>
  <si>
    <t>Tại sao cần xác định rõ phạm vi nghiệp vụ và dữ liệu nhạy cảm khi phân tích các dịch vụ thanh toán?</t>
  </si>
  <si>
    <t>Để đảm bảo các thành phần chứa dữ liệu nhạy cảm được kiểm soát và bảo vệ đúng mức</t>
  </si>
  <si>
    <t>Vì chỉ những dịch vụ lớn mới cần quan tâm đến dữ liệu nhạy cảm</t>
  </si>
  <si>
    <t>Để dễ dàng chia sẻ dữ liệu giữa các hệ thống không cần xin phép</t>
  </si>
  <si>
    <t>Giúp tăng tốc độ xử lý giao dịch bằng cách bỏ qua mã hóa không cần thiết</t>
  </si>
  <si>
    <t>Phòng Kinh doanh đề xuất bổ sung chức năng thống kê giao dịch theo giờ trong ngày. Tuy nhiên, hệ thống hiện tại không lưu dữ liệu theo đơn vị giờ, và nguồn dữ liệu hiện tại chỉ hỗ trợ theo ngày.
Anh/Chị nên xử lý bước đầu như thế nào để đánh giá đúng tính khả thi của yêu cầu?</t>
  </si>
  <si>
    <t>Đánh giá chi phí – lợi ích nếu phải thay đổi cách lưu dữ liệu.</t>
  </si>
  <si>
    <t>Gửi toàn bộ yêu cầu cho nhóm phát triển xử lý ngay, vì việc thống kê theo giờ không ảnh hưởng đến cấu trúc dữ liệu chính.</t>
  </si>
  <si>
    <t>Tiếp nhận yêu cầu, tổng hợp cùng các đề xuất khác và chờ tới giai đoạn nâng cấp hệ thống định kỳ để xử lý đồng loạt.</t>
  </si>
  <si>
    <t>Đề xuất Phòng Kinh doanh điều chỉnh yêu cầu phù hợp với dữ liệu hiện có nhằm hạn chế can thiệp vào hạ tầng và rút ngắn thời gian triển khai.</t>
  </si>
  <si>
    <t>Người dùng từng yêu cầu thêm trường “mã lỗi” để thuận tiện trong việc tra soát giao dịch. Tuy nhiên, trong bản thiết kế gần nhất, nhóm phát triển chưa đề cập đến trường này, và bản thiết kế đã được gửi đi để lấy ý kiến trước triển khai.
Anh/Chị nên thực hiện hành động nào tiếp theo?</t>
  </si>
  <si>
    <t>- Đối chiếu lại yêu cầu gốc của người dùng: trường “mã lỗi” có bắt buộc không? phục vụ chức năng nào?
- Liên hệ với nhóm phát triển để xác minh lý do trường “mã lỗi” không được đưa vào thiết kế (do giới hạn kỹ thuật hay do bỏ sót).</t>
  </si>
  <si>
    <t>- Gửi lại tài liệu thiết kế cho người dùng kiểm tra lại, nếu sau 3 ngày không có phản hồi thì giữ nguyên phương án hiện tại để không ảnh hưởng tiến độ.</t>
  </si>
  <si>
    <t>- Đối chiếu lại yêu cầu gốc của người dùng: trường “mã lỗi” có bắt buộc không? phục vụ chức năng nào?
- Ghi chú phần thiếu sót vào bản thiết kế hiện tại và đề xuất cập nhật bổ sung ở giai đoạn phát hành tiếp theo sau khi thử nghiệm.</t>
  </si>
  <si>
    <t>- Thông báo lại cho Phòng Kinh doanh rằng việc thiếu trường “mã lỗi” là do giới hạn thiết kế hệ thống và khuyến khích sử dụng các trường dữ liệu khác thay thế.</t>
  </si>
  <si>
    <t>Trong quá trình phân tích hệ thống cho phép thanh toán bằng mã QR, việc phối hợp giữa kỹ thuật và nghiệp vụ giúp xác định điều gì?</t>
  </si>
  <si>
    <t>Yêu cầu cụ thể về xác thực, mã hóa, giới hạn truy cập cho từng mô-đun thanh toán</t>
  </si>
  <si>
    <t>Cách chia giao diện người dùng theo các màu sắc khác nhau cho dễ dùng</t>
  </si>
  <si>
    <t>Thứ tự xử lý các nút chức năng để đảm bảo tốc độ nhập liệu</t>
  </si>
  <si>
    <t>Loại bỏ yêu cầu bảo mật để đẩy nhanh tiến độ triển khai</t>
  </si>
  <si>
    <t>Trong quá trình đánh giá hệ thống thanh toán quốc tế, rủi ro nào sau đây là nghiêm trọng và cần xử lý?</t>
  </si>
  <si>
    <t>Thông tin thẻ và mã giao dịch có thể bị lộ nếu không được mã hóa đúng chuẩn khi truyền qua biên giới</t>
  </si>
  <si>
    <t>Tài khoản người dùng bị trùng tên với tài khoản ở hệ thống khác</t>
  </si>
  <si>
    <t>Số lượng giao dịch mỗi ngày tăng vượt 10%</t>
  </si>
  <si>
    <t>Khách hàng không nhớ mã giao dịch đã thực hiện cách đây 30 ngày</t>
  </si>
  <si>
    <t>Phòng Anh/Chị đang cùng phối hợp với nhóm kỹ thuật để triển khai một giải pháp liên kết ví điện tử vào hệ thống cổng thanh toán điện tử của Napas. Mỗi ví điện tử sẽ yêu cầu một bộ API riêng biệt, và nhóm phát triển đề xuất xây dựng API tùy chỉnh cho từng ví đối tác (bao gồm ví XYZ và ví ABC). Tuy nhiên, hệ thống hiện tại đã có sẵn một bộ API chuẩn dùng cho các kết nối ACH, QR Code, và thanh toán liên ngân hàng, mà theo nhóm phát triển, có thể không đáp ứng được các yêu cầu đặc thù của từng ví.
Trong tình huống này, Anh/Chị sẽ đề xuất giải pháp nào để đảm bảo tính khả thi, hiệu quả và khả năng mở rộng của hệ thống trong dài hạn?</t>
  </si>
  <si>
    <t>- PA1: Điều chỉnh lại bộ API chuẩn hiện tại: điều chỉnh bộ API hiện tại để đáp ứng yêu cầu đặc thù của từng ví điện tử mà không ảnh hưởng đến các đối tác đang sử dụng bộ đó. Bổ sung thêm các trường thông tin dự phòng để đáp ứng khả năng mở rộng trong tương lai
- PA2: Giữ nguyên bộ API hiện tại để không ảnh hưởng đến các đối tác đang tích hợp. Đánh giá xây dựng một bộ API mới với các thông tin được define tối đa để đáp ứng được cho từng ví điện tử, đồng thời có khả năng mở rộng trong tương lai</t>
  </si>
  <si>
    <t>- PA1: Xây dựng API riêng biệt cho mỗi ví điện tử mà nhóm phát triển đề xuất. Mỗi API sẽ được tối ưu hóa cho ví cụ thể và được triển khai lần lượt.
- PA2: Giữ nguyên bộ API hiện tại để không ảnh hưởng đến các đối tác đang tích hợp. Đánh giá xây dựng một bộ API mới với các thông tin được define tối đa để đáp ứng được cho từng ví điện tử, đồng thời có khả năng mở rộng trong tương lai</t>
  </si>
  <si>
    <t>- Đề nghị nhóm kỹ thuật phát triển một giải pháp “tạm thời” là sử dụng API hiện có cho một số ví, trong khi vẫn xây dựng API riêng cho ví XYZ và ABC. Mục tiêu là giảm bớt thời gian phát triển ban đầu và sau đó sẽ bổ sung thêm các API chuẩn khi có yêu cầu từ các đối tác ví khác.</t>
  </si>
  <si>
    <t>- Đề xuất tạm thời bỏ qua việc chuẩn hóa API trong giai đoạn đầu, thay vào đó, sử dụng các giải pháp kết nối thủ công hoặc file trao đổi dữ liệu. Điều này sẽ giúp tiết kiệm thời gian và tài nguyên cho việc xây dựng API đồng bộ trong giai đoạn thử nghiệm, sau đó sẽ cải tiến dần dần.</t>
  </si>
  <si>
    <t>Anh/Chị đang tham gia phân tích và xác nhận giải pháp kỹ thuật cho một hệ thống thanh toán học phí qua QR Code tại các trường đại học, yêu cầu giải pháp này phải có khả năng tích hợp với nhiều hệ thống quản lý sinh viên khác nhau như SIS-ABC, SIS-ProEdu, SIS-UniEdu. Để bắt đầu, nhóm phát triển đã đề xuất sử dụng file Excel định kỳ để trao đổi thông tin về học phí giữa các hệ thống và giải pháp thanh toán, nhằm đơn giản hóa quy trình và giảm bớt sự phức tạp trong giai đoạn đầu.
Trong trường hợp này, Anh/Chị sẽ lựa chọn giải pháp nào để đảm bảo tính khả thi và mở rộng cho hệ thống về lâu dài, đồng thời đáp ứng yêu cầu nghiệp vụ?</t>
  </si>
  <si>
    <t>- Xem xét đánh giá về các hệ thống quản lý sinh viên SIS-ABC, SIS-ProEdu, SIS-UniEdu có khả năng tích hợp qua API không
- Đề xuất giải pháp tích hợp giữa hệ thống thanh toán học phí với các hệ thống quản lý sinh viên qua API, vì tích hợp qua API là phương thức tích hợp nhanh chóng, đảm bảo tính bảo mật, và có khả năng mở rộng hệ thống về lâu dài</t>
  </si>
  <si>
    <t>- Đề xuất triển khai giải pháp sử dụng file Excel định kỳ giữa các hệ thống và hệ thống thanh toán học phí trong giai đoạn thử nghiệm. Điều này sẽ giúp giảm thiểu rủi ro kỹ thuật ban đầu, đồng thời cung cấp một cách tiếp cận đơn giản và nhanh chóng. 
- Sau khi triển khai thành công với vài trường đại học, sẽ tiến hành xây dựng API để nâng cấp hệ thống.</t>
  </si>
  <si>
    <t>- Khuyến khích các trường đại học tự gửi dữ liệu học phí qua email hoặc hệ thống quản lý nội bộ trong giai đoạn thử nghiệm
- Chỉ khi có hơn 5 trường đại học tham gia, hệ thống sẽ được đánh giá lại và đề xuất cải tiến kỹ thuật để tích hợp API chính thức</t>
  </si>
  <si>
    <t>- Đề xuất giải pháp sử dụng API hiện tại để tích hợp với một số trường đại học và yêu cầu các trường khác tự điều chỉnh hệ thống để tương thích với các yêu cầu kỹ thuật của Napas</t>
  </si>
  <si>
    <t>Bạn đang tham gia đánh giá giải pháp kỹ thuật cho hệ thống “Chuyển tiền tức thời qua thẻ” với yêu cầu nghiệp vụ: độ trễ dưới 3 giây, an toàn dữ liệu thẻ và khả năng phục hồi cao. Ba phương án sử dụng các cơ chế đồng bộ khác nhau. Phương án nào phù hợp nhất?</t>
  </si>
  <si>
    <t>Chọn giải pháp sử dụng message queue có cơ chế xác thực, mã hóa end-to-end và khả năng retry tự động khi lỗi, kết hợp xác nhận giao dịch tức thời từ phía ngân hàng đích</t>
  </si>
  <si>
    <t>Chọn giải pháp dùng cơ chế batch xử lý định kỳ để giảm tải hệ thống trong giờ cao điểm</t>
  </si>
  <si>
    <t xml:space="preserve">Chọn cơ chế gửi thẳng từ ví người dùng đến ngân hàng đích qua API không xác thực để đảm bảo tốc độ
</t>
  </si>
  <si>
    <t>Chọn giải pháp lưu log thô các giao dịch và đồng bộ về cuối ngày để giảm độ trễ</t>
  </si>
  <si>
    <t>Bạn được giao nhiệm vụ đánh giá hai giải pháp kỹ thuật kết nối hệ thống NAPAS với cổng thanh toán của một Fintech. Cả hai giải pháp đều đạt yêu cầu chức năng. Tuy nhiên, giải pháp A yêu cầu xác thực OAuth2 và mã hóa TLS 1.3, còn giải pháp B dùng mã hóa riêng với giao thức do Fintech tự thiết kế. Trong bối cảnh tích hợp với nhiều bên và yêu cầu tuân thủ chuẩn ngành, bạn nên đề xuất gì?</t>
  </si>
  <si>
    <t>Chọn giải pháp A vì tuân thủ tiêu chuẩn bảo mật mở, dễ giám sát, có tính tương thích và mở rộng cao hơn trong môi trường đa kết nối</t>
  </si>
  <si>
    <t>Chọn giải pháp B vì dùng thuật toán riêng giúp bảo vệ logic nội bộ và tránh bị bắt chước</t>
  </si>
  <si>
    <t>Chọn giải pháp B để tận dụng kỹ thuật mới của Fintech, giúp cải tiến tốc độ triển khai</t>
  </si>
  <si>
    <t>Đề xuất kết hợp cả hai giao thức để tăng lớp bảo mật và tránh phụ thuộc</t>
  </si>
  <si>
    <t>Sau khi hệ thống QR Merchant thu hộ học phí được triển khai cho hơn 10 ngân hàng và hơn 100 trường đại học, khối Kỹ thuật Napas đề xuất triển khai bản nâng cấp tích hợp phân loại theo ngành dọc (giáo dục, bệnh viện, chính phủ) để cải thiện khả năng mở rộng. Trong khi đó:
- Bộ phận Kinh doanh cho biết phần lớn ngân hàng đối tác chưa sẵn sàng đầu tư thêm để điều chỉnh tích hợp.
- Bộ phận Vận hành ghi nhận số lượng giao dịch lỗi tăng nhẹ (từ 0,05% lên 0,11%) nhưng chưa gây ảnh hưởng nghiêm trọng.
- Bộ phận Pháp chế lưu ý một số nội dung trong quy trình đăng ký mã QR mới cần được rà soát lại để tránh vi phạm quy định bảo mật thông tin cá nhân.
- Ngoài ra, một số đối tác quốc tế như UnionPay cũng đang đề xuất thử nghiệm tích hợp QR Merchant vào kênh thanh toán đa quốc gia, yêu cầu giải pháp mới cần có khả năng hỗ trợ song ngữ, và tính mở rộng theo chuẩn ISO 20022.
Anh/Chị nên lựa chọn giải pháp nào ?</t>
  </si>
  <si>
    <t>- Triển khai bản nâng cấp mới nhưng vẫn duy trì phiên bản cũ để có thể vừa đáp ứng hoạt động của các đối tác cũ, vừa tích hợp được với các đối tác muốn nâng cấp lên phiên bản mới.
- Rà soát, theo dõi và đánh giá lại nguyên nhân của các giao dịch lỗi
- Đánh giá rà soát lại quy trình đăng ký mã QR để đảm bảo tuân thủ đúng pháp lý
- Nâng cấp hệ thống hỗ trợ song ngữ và có thể mở rộng theo chuẩn ISO 20022</t>
  </si>
  <si>
    <t>- Triển khai bản nâng cấp mới, đồng thời bổ sung nguồn lực để tiếp nhận, rà soát, theo dõi và đánh giá lại các giao dịch lỗi phát sinh
- Đánh giá rà soát lại quy trình đăng ký mã QR để đảm bảo tuân thủ đúng pháp lý
- Nâng cấp hệ thống hỗ trợ song ngữ và có thể mở rộng theo chuẩn ISO 20022</t>
  </si>
  <si>
    <t>- Đẩy lùi việc triển khai bản nâng cấp, duy trì phiên bản cũ để đáp ứng hoạt động của các đối tác cũ
- Đề nghị khối kỹ thuật tiếp tục điều chỉnh bản nâng cấp để khắc phục vấn đề được đề cập, cùng với việc nâng cấp hệ thống hỗ trợ song ngữ và có thể mở rộng theo chuẩn ISO 20022</t>
  </si>
  <si>
    <t>- Triển khai bản nâng cấp mới, đồng thời đề nghị các ngân hàng đối tác đầu cập nhật hệ thống để tích hợp với bản nâng cấp
- Đánh giá rà soát lại quy trình đăng ký mã QR để đảm bảo tuân thủ đúng pháp lý
- Nâng cấp hệ thống hỗ trợ song ngữ và có thể mở rộng theo chuẩn ISO 20022</t>
  </si>
  <si>
    <t>Hệ thống ACH (Automated Clearing House) của Napas đang phục vụ hơn 40 ngân hàng và xử lý trung bình 12 triệu giao dịch/ngày. Theo phản hồi từ một số ngân hàng thành viên, các tính năng xử lý thanh toán định kỳ vẫn còn hạn chế:
- Không có tùy chọn thiết lập linh hoạt các điều kiện ràng buộc (ví dụ: số dư tối thiểu, ngày nghỉ, lịch tùy chỉnh).
- Tình trạng treo lệnh xảy ra trong một số khung giờ cao điểm, chủ yếu do cơ chế xử lý đồng thời (concurrent processing) còn thiếu tối ưu.
- Bộ phận vận hành ghi nhận gần đây có 6 phiên lỗi liên tiếp liên quan đến thanh toán định kỳ lô từ các hệ thống quản lý nhân sự tích hợp.
- Trong khi đó, Bộ phận Kỹ thuật đề xuất triển khai lại “Rule Engine” với luồng kiểm soát mới, nhưng chi phí triển khai cao và cần thay đổi hạ tầng.
- Nhóm Đối tác quốc tế của Napas nhận được yêu cầu thử nghiệm tích hợp với hệ thống batch payment của Thái Lan, cần khả năng tùy biến định kỳ theo múi giờ khác.
 Anh/Chị nên lựa chọn phương án hành động nào dưới đây?</t>
  </si>
  <si>
    <t xml:space="preserve">Thu thập đầy đủ các thông tin, thực hiện phân tích đánh giá với các bên liên quan, thống nhất phương án và các giai đoạn triển khai.
</t>
  </si>
  <si>
    <t xml:space="preserve">Thực hiện phát triển/chỉnh sửa theo giải pháp đề xuất
</t>
  </si>
  <si>
    <t xml:space="preserve">Kiểm thử
</t>
  </si>
  <si>
    <t>Triển khai Change Requet trên môi trường thật</t>
  </si>
  <si>
    <t>Khảo sát, thu thập yêu cầu nghiệp vụ: Xác định, thu thập và làm rõ các yêu cầu từ người dùng và các bên liên quan.</t>
  </si>
  <si>
    <t>Anh/Chị đang làm việc với một số ngân hàng để thu thập yêu cầu về một ứng dụng thanh toán. Mỗi ngân hàng có các yêu cầu khác nhau, một số yêu cầu chưa rõ ràng và thiếu thông tin chi tiết. Cách tiếp cận nào là hợp lý để thu thập thông tin chi tiết từ các ngân hàng?</t>
  </si>
  <si>
    <t>Chủ động liên hệ lại với từng ngân hàng để làm rõ các yêu cầu chưa rõ, đặt câu hỏi cụ thể và hướng dẫn họ cung cấp thông tin theo mẫu chuẩn.</t>
  </si>
  <si>
    <t>Ghi nhận mọi yêu cầu như được trình bày, không cần làm rõ để tiết kiệm thời gian.</t>
  </si>
  <si>
    <t>Tự phân tích và điền bổ sung các chi tiết còn thiếu dựa trên kinh nghiệm.</t>
  </si>
  <si>
    <t>Hẹn lại buổi làm việc với ngân hàng để yêu cầu họ gửi bản mô tả đầy đủ qua email.</t>
  </si>
  <si>
    <t>Anh/Chị là người phụ trách thu thập yêu cầu nghiệp vụ cho một dự án phát triển ứng dụng thanh toán cho ngân hàng. Sau khi gặp gỡ các bên liên quan, Anh/Chị nhận thấy có những yêu cầu mâu thuẫn giữa nhóm phát triển và nhóm kinh doanh về tính năng của ứng dụng.</t>
  </si>
  <si>
    <t>Chủ động làm việc lại với cả hai nhóm để phân tích nguyên nhân khác biệt, làm rõ kỳ vọng và điều phối một phiên thảo luận chung nhằm đạt đồng thuận.</t>
  </si>
  <si>
    <t>Lắng nghe yêu cầu từ nhóm kinh doanh, rồi trình bày lại cho nhóm phát triển mà không cần thảo luận sâu về sự khác biệt trong yêu cầu.</t>
  </si>
  <si>
    <t>Chỉ thu thập yêu cầu từ nhóm phát triển và bỏ qua nhóm kinh doanh để đơn giản hóa quá trình.</t>
  </si>
  <si>
    <t>Chia yêu cầu thành các phần nhỏ và yêu cầu mỗi bên gửi lại chi tiết yêu cầu của họ để giải quyết mâu thuẫn.</t>
  </si>
  <si>
    <t>Khi thu thập yêu cầu nghiệp vụ liên quan đến giao dịch thanh toán qua API, thông tin nào sau đây cần được lưu ý về mặt an toàn thông tin?</t>
  </si>
  <si>
    <t>Thông tin định danh như số thẻ, tài khoản cần được bảo mật trong quá trình truyền tải</t>
  </si>
  <si>
    <t>Chỉ cần mã hóa dữ liệu đầu ra, không cần mã hóa đầu vào</t>
  </si>
  <si>
    <t>Việc bảo mật chỉ áp dụng với ứng dụng di động, không cần cho API</t>
  </si>
  <si>
    <t>Thông tin kỹ thuật có thể chia sẻ tự do nếu là từ phía đối tác ngân hàng</t>
  </si>
  <si>
    <t>Khi phân tích nhóm người dùng trong dịch vụ thanh toán trực tuyến, ai là đối tượng cần đặc biệt lưu ý về quyền truy cập dữ liệu nhạy cảm?</t>
  </si>
  <si>
    <t>Nhân viên xử lý dữ liệu hoặc quản trị hệ thống liên quan đến giao dịch tài chính</t>
  </si>
  <si>
    <t>Tất cả người dùng có tài khoản đều có thể xem thông tin giao dịch mã hóa</t>
  </si>
  <si>
    <t>Chỉ khách hàng mới cần đảm bảo bảo mật thông tin, nhân viên nội bộ không cần</t>
  </si>
  <si>
    <t>Người dùng không thực hiện thanh toán thì không ảnh hưởng gì đến bảo mật</t>
  </si>
  <si>
    <t>Trong quá trình khảo sát yêu cầu phát triển dịch vụ thanh toán định danh điện tử (eKYC), ngân hàng đối tác yêu cầu tích hợp xác thực sinh trắc học kèm mã OTP qua thiết bị phần cứng HSM. Anh/Chị cần thực hiện bước nào sau đây để đảm bảo ghi nhận và phân loại yêu cầu đúng?</t>
  </si>
  <si>
    <t>Làm rõ yêu cầu với bên đối tác và phối hợp với nhóm kỹ thuật để xác định tính khả thi của việc tích hợp sinh trắc học và OTP qua HSM và xác minh chuẩn kỹ thuật hiện hành có đáp ứng không</t>
  </si>
  <si>
    <t>Tích hợp tất cả các hình thức xác thực được ngân hàng đề xuất vào thiết kế để đảm bảo khả năng mở rộng linh hoạt, sau đó chuyển cho kỹ thuật đánh giá tính tương thích và hiệu năng hệ thống để quyết định triển khai theo từng giai đoạn cụ thể.</t>
  </si>
  <si>
    <t>Ưu tiên tích hợp xác thực OTP trước do nền tảng kỹ thuật HSM hiện tại đã hỗ trợ tốt, đồng thời ghi chú yêu cầu sinh trắc học để triển khai sau khi hoàn thiện các giai đoạn tích hợp cơ bản.</t>
  </si>
  <si>
    <t xml:space="preserve">Gửi yêu cầu trực tiếp cho nhóm kỹ thuật triển khai, ưu tiên hoàn thành nhanh do liên quan bảo mật. Đánh giá rủi ro và chuẩn kỹ thuật sau khi có bản thiết kế sơ bộ.
</t>
  </si>
  <si>
    <t>Trong buổi làm việc với đối tác ngân hàng về nâng cấp hệ thống phát hành thẻ ảo, ngân hàng yêu cầu tích hợp chức năng cảnh báo khi thẻ sắp hết hạn. Anh/Chị nhận thấy đây là yêu cầu liên quan đến cả hệ thống backend và giao diện người dùng. Phương án xử lý phù hợp là gì?</t>
  </si>
  <si>
    <t>- Xác định và làm rõ yêu cầu chức năng cảnh báo khi thẻ sắp hết hạn. Thời điểm nào hệ thống cần cảnh báo (trước ngày hết hạn bao nhiêu ngày thì gửi cảnh báo), hình thức cảnh báo như thế nào (qua SMS, email, in app banking,...)
- Phân tích thiết kế giải pháp trên backend: Tạo cơ chế kiểm tra định kỳ danh sách thẻ sắp hết hạn theo hàng ngày. Tích hợp gửi thông báo tự động. Lưu trữ dữ liệu cảnh báo
- Thiết kế giao diện cảnh báo cho người dùng: có thông báo thẻ sắp hết hạn khi người dùng đăng nhập vào app/web. Có chức năng để người dùng có thể thực hiện gia hạn thẻ khi thẻ chưa hết hạn
- Xác nhận yêu cầu với nhóm kỹ thuật và đối tác ngân hàng</t>
  </si>
  <si>
    <t>- Xác định và làm rõ yêu cầu chức năng cảnh báo khi thẻ sắp hết hạn. Thời điểm nào hệ thống cần cảnh báo (trước ngày hết hạn bao nhiêu ngày thì gửi cảnh báo)
- Đề xuất thay thế cảnh báo realtime trên giao diện bằng email thông báo định kỳ 15 ngày trước khi thẻ hết hạn, nhằm tận dụng luồng thông báo hiện tại, tránh phát sinh thay đổi kỹ thuật nhiều tầng.
- Xác nhận yêu cầu với nhóm kỹ thuật và đối tác ngân hàng</t>
  </si>
  <si>
    <t>- Ưu tiên cập nhật giao diện người dùng để hiển thị ngày hết hạn của thẻ rõ ràng hơn
- Phối hợp với bộ phận thiết kế giao diện để đưa vào luồng xử lý UI</t>
  </si>
  <si>
    <t>- Xem đây là một đề xuất chức năng nâng cao liên quan đến trải nghiệm người dùng, ghi nhận vào danh sách backlog và đề xuất lùi triển khai để ưu tiên các hạng mục kỹ thuật cốt lõi như phát hành mã thẻ và tích hợp ví điện tử.</t>
  </si>
  <si>
    <t>Khi phân tích quy trình xử lý giao dịch chuyển tiền từ ví điện tử đến thẻ ghi nợ nội địa, yếu tố nào sau đây cần được kiểm tra kỹ về an toàn thông tin?</t>
  </si>
  <si>
    <t>Cách truyền số thẻ giữa ví điện tử và hệ thống NAPAS có được mã hóa và xác thực hay không</t>
  </si>
  <si>
    <t>Số điện thoại của người nhận có bị trùng lặp với các giao dịch khác không</t>
  </si>
  <si>
    <t>Thời gian xử lý giao dịch có dưới 5 giây hay không</t>
  </si>
  <si>
    <t>Tổng số lượng người dùng cùng lúc trên hệ thống ví</t>
  </si>
  <si>
    <t>Trong quá trình phân tích chức năng “rút tiền bằng mã VietQR”, đâu là yêu cầu an toàn thông tin cần đặt ra ngay từ đầu?</t>
  </si>
  <si>
    <t>Mã rút tiền và giao dịch phải được mã hóa, có xác thực và hết hạn trong thời gian ngắn</t>
  </si>
  <si>
    <t>Mã rút tiền chỉ cần đủ dài, không cần thiết phải mã hóa</t>
  </si>
  <si>
    <t>Chỉ xác thực số tài khoản ngân hàng là đủ</t>
  </si>
  <si>
    <t>Bảo mật chỉ cần thực hiện ở phía ngân hàng phát hành thẻ</t>
  </si>
  <si>
    <t>Dịch vụ tra soát giao dịch liên ngân hàng sử dụng QR Code vừa được đưa vào vận hành thử nghiệm với 6 ngân hàng đầu tiên. Trong quá trình trao đổi triển khai, một số ngân hàng phản ánh rằng: (1) giao dịch lỗi không hiển thị lý do cuối cùng; (2) phần lớn lỗi xảy ra ở khâu xác thực liên ngân hàng nhưng không có log chi tiết; (3) thời gian phản hồi API không ổn định, nhất là vào giờ cao điểm; (4) chưa có cơ chế retry trong trường hợp timeout.
Với vai trò phân tích nghiệp vụ phụ trách mảng này, Anh/Chị cần tổng hợp và phát triển yêu cầu toàn diện trước khi bàn giao cho đội phát triển. Phương án nào dưới đây là đầy đủ và hợp lý nhất
(1) Xác định vấn đề; Rà soát và cải tiến lại quy trình nếu cần; Đưa ra phương án xử lý vấn đề; Cập nhật hệ thống
(2) Xác định vấn đề; Đưa ra phương án xử lý vấn đề; Cập nhật hệ thống
(3) Xác định vấn đề; Cập nhật hệ thống</t>
  </si>
  <si>
    <t>Xác định vấn đề; Rà soát và cải tiến lại quy trình nếu cần; Đưa ra phương án xử lý vấn đề; Cập nhật hệ thống</t>
  </si>
  <si>
    <t>Xác định vấn đề; Đưa ra phương án xử lý vấn đề; Cập nhật hệ thống</t>
  </si>
  <si>
    <t>Xác định vấn đề; Cập nhật hệ thống</t>
  </si>
  <si>
    <t>Xác định vấn đề; Cập nhật hệ thống; Rà soát và cải tiến quy trình nếu cần</t>
  </si>
  <si>
    <t>Dự án phối hợp giữa các phòng nghiệp vụ, kỹ thuật và pháp chế tại Napas về dịch vụ định danh liên ngân hàng phục vụ định danh điện tử nâng cao (eKYC+) đang ở giai đoạn khảo sát yêu cầu.
Nguồn dữ liệu gồm: Bộ Công an, ngân hàng thành viên, ví điện tử.
Vấn đề phát sinh: xung đột thứ tự xử lý yêu cầu, quyền truy cập, phân quyền API, quản lý dữ liệu.
Với vai trò phân tích nghiệp vụ chủ trì, Anh/Chị cần thu thập, phân tích và hoàn thiện yêu cầu từ nhiều bên liên quan. Phương án nào là hợp lý nhất?</t>
  </si>
  <si>
    <t>- Tổ chức họp để thống nhất qui trình xử lý yêu cầu từ các bên liên quan, xác định thứ tự ưu tiên tránh xung đột khi làm
- Xác định phòng nghiệp vụ nào được quyền truy cập dữ liệu nào và phân quyền, kiểm soát truy cập theo phòng ban đảm bảo tính bảo mật
- Định nghĩa tiêu chuẩn dữ liệu chung giữa bộ công an, ngân hàng, ví điện tử. Cơ chế đồng bộ dữ liệu giữa các hệ thống. Cơ chế ghi nhận và xử lý sai lệch dữ liệu để đảm bảo tính chính xác của dữ liệu
- Sau khi chốt được các vấn đề thì tổng hợp thành tài liệu yêu cầu nghiệp vụ (BRD) chi tiết, có kèm theo sơ đồ luồng dữ liệu, ma trận quyền truy cập/phân quyền và các quy tắc nghiệp vụ rõ ràng, trình các bên liên quan xem xét và phê duyệt.</t>
  </si>
  <si>
    <t>- Yêu cầu mỗi bên gửi yêu cầu riêng, tổng hợp lại thành tài liệu tổng thể
- Với các nội dung mâu thuẫn, chuyển lên Trưởng Ban Dự án xử lý
- Trong khi chờ phản hồi, chuyển yêu cầu cho nhóm kỹ thuật để xây dựng cấu trúc API khung.</t>
  </si>
  <si>
    <t>- Ưu tiên lựa chọn dữ liệu định danh từ ngân hàng làm nguồn chính. bỏ qua dữ liệu từ Bộ Công an và ví điện tử trong giai đoạn đầu để đơn giản hóa xử lý.
- Đề xuất triển khai theo lộ trình từng bước và cập nhật theo yêu cầu sau khi vận hành ổn định.</t>
  </si>
  <si>
    <t>- Áp dụng quy trình phân tích đã được sử dụng trong dự án eKYC nội bộ, hiệu chỉnh lại nội dung mô tả API và xác thực người dùng theo yêu cầu liên ngân hàng
- Gửi cho các bên đánh giá và góp ý theo mẫu chuẩn đã có từ trước.</t>
  </si>
  <si>
    <t>Bạn đang phân tích quy trình thanh toán kết hợp giữa ví điện tử, ngân hàng và hệ thống NAPAS. Đâu là biện pháp phù hợp nhất để đảm bảo an toàn thông tin khi xử lý dữ liệu liên thông qua 3 hệ thống?</t>
  </si>
  <si>
    <t>Thiết lập kênh kết nối API có xác thực hai chiều, mã hóa toàn bộ dữ liệu theo chuẩn TLS và định kỳ xoay vòng khóa mã hóa</t>
  </si>
  <si>
    <t>Yêu cầu xác thực một chiều từ ví điện tử về phía ngân hàng</t>
  </si>
  <si>
    <t>Cho phép truyền dữ liệu dưới dạng bản rõ nếu kết nối qua mạng riêng VPN</t>
  </si>
  <si>
    <t>Tập trung vào bảo mật dữ liệu khi giao tiếp với hệ thống nước ngoài, còn hệ thống trong nước có thể linh hoạt</t>
  </si>
  <si>
    <t>Một nhóm kỹ thuật đề xuất sử dụng mã hóa đối xứng với khóa tĩnh để bảo vệ giao dịch thanh toán. Bạn là người phân tích nghiệp vụ, phản ứng phù hợp nhất của bạn là gì?</t>
  </si>
  <si>
    <t>Đề nghị đánh giá lại vì giải pháp dùng khóa tĩnh không đảm bảo an toàn dài hạn và không phù hợp với nguyên tắc xoay vòng khóa</t>
  </si>
  <si>
    <t>Chấp thuận vì mã hóa đối xứng là đủ nhanh và dễ tích hợp</t>
  </si>
  <si>
    <t>Đề xuất dùng cùng một khóa cho toàn bộ hệ thống để đơn giản cấu hình</t>
  </si>
  <si>
    <t>Tập trung vào logic nghiệp vụ, còn việc chọn phương pháp mã hóa là do bộ phận an ninh mạng quyết định hoàn toàn</t>
  </si>
  <si>
    <t>Anh/Chị đang làm việc với nhóm phát triển và các đối tác ngân hàng để triển khai một giải pháp thanh toán tự động cho các khách hàng doanh nghiệp. Hệ thống này phải tích hợp với các dịch vụ của nhiều ngân hàng khác nhau và có thể hỗ trợ các hình thức thanh toán như ACH, QR Code, và thẻ ngân hàng. Một số yêu cầu từ ngân hàng về bảo mật và xử lý giao dịch lớn đã được làm rõ. Tuy nhiên, các yêu cầu về khả năng mở rộng hệ thống và tính tương thích với các công nghệ mới như blockchain chưa được xác định rõ ràng. Các ngân hàng yêu cầu phải có khả năng đảm bảo tính bảo mật cao, trong khi đối tác lại yêu cầu khả năng xử lý giao dịch hàng loạt một cách nhanh chóng, tạo ra sự mâu thuẫn trong yêu cầu. Thêm vào đó, một số yêu cầu còn thiếu chi tiết về tính linh hoạt của hệ thống trong việc xử lý các tình huống ngoại lệ.
Ngoài ra, khi xem xét các yêu cầu từ đối tác và các ngân hàng, Anh/Chị nhận thấy rằng một số yếu tố về tính khả thi và tương thích hệ thống chưa được làm rõ. Một trong những yếu tố quan trọng là khả năng tích hợp hệ thống với các ứng dụng di động và công nghệ điện toán đám mây.
Anh/Chị sẽ làm gì để thu thập đầy đủ yêu cầu và đảm bảo rằng các yếu tố quan trọng của hệ thống được phân tích và làm rõ từ các bên liên quan?</t>
  </si>
  <si>
    <t>- Đưa ra bảng câu hỏi khảo sát cụ thể đối với từng đối tượng liên quan như ngân hàng, doanh nghiệp,...
- Dựa vào kết quả của bảng khảo sát, thực hiện tổ chức các buổi họp với các bên liên quan để thảo luân về các yêu cầu
- Xác định và thống nhất yêu cầu cụ thể của từng bên, bao gồm các yêu cầu về nghiệp vụ, hệ thống, bảo mật, khả năng mở rộng, tính tương thích với blockchain, tính linh hoạt khi xử lý các tình huống ngoại lệ,...
- Tạo bảng tổng hợp danh sách các yêu cầu kèm phương án thực hiện và gửi chốt với các bên liên quan</t>
  </si>
  <si>
    <t>- Đưa ra bảng câu hỏi khảo sát cụ thể đối với từng đối tượng liên quan như ngân hàng, doanh nghiệp,...
- Dựa vào kết quả của bảng khảo sát, xác định yêu cầu cụ thể của từng bên, bao gồm các yêu cầu về nghiệp vụ, hệ thống, bảo mật, khả năng mở rộng, tính tương thích với blockchain, tính linh hoạt khi xử lý các tình huống ngoại lệ,...
- Tạo bảng tổng hợp danh sách các yêu cầu kèm phương án thực hiện và tiến hành</t>
  </si>
  <si>
    <t>- Dựa vào thông tín đã có, tạo bảng tổng hợp danh sách các yêu cầu kèm phương án thực hiện
- Đối với các yêu cầu mâu thuẫn (bảo mật vs. tốc độ xử lý), tổ chức buổi họp chung để thảo luận, phân tích rủi ro, đánh giá tác động và tìm kiếm sự đồng thuận hoặc giải pháp cân bằng
- Cập nhật bảng tổng hợp yêu cầu và tiến hành phương án thực hiện</t>
  </si>
  <si>
    <t>- Đưa ra bảng câu hỏi khảo sát cụ thể đối với từng đối tượng liên quan như ngân hàng, doanh nghiệp,...
- Dựa vào kết quả của bảng khảo sát, thực hiện tổ chức các buổi họp với các bên liên quan để thảo luân về các yêu cầu, đặc biệt ưu tiên các yêu cầu liên quan đến bảo mật
- Xác định và thống nhất những yêu cầu cụ thể về bảo mật
- Tạo bảng tổng hợp danh sách các yêu cầu kèm phương án thực hiện và gửi chốt với các bên liên quan</t>
  </si>
  <si>
    <t>Anh/Chị đang hỗ trợ nhóm phát triển xây dựng một hệ thống quản lý giao dịch quốc tế cho các khách hàng doanh nghiệp. Các yêu cầu về bảo mật, xử lý giao dịch lớn và tính linh hoạt đã được làm rõ, nhưng các yêu cầu về giao diện người dùng (UI) và khả năng mở rộng hệ thống vẫn còn mơ hồ. Ngân hàng yêu cầu hệ thống phải đảm bảo tính bảo mật cao, trong khi các đối tác quốc tế lại yêu cầu khả năng mở rộng hệ thống để có thể xử lý lượng giao dịch lớn trong tương lai. Tuy nhiên, yêu cầu về giao diện người dùng chưa được làm rõ, đặc biệt là về tính tương thích với các thiết bị di động và hỗ trợ đa ngôn ngữ.
Một vấn đề khác là ngân hàng muốn giao diện người dùng phải đơn giản và dễ sử dụng, nhưng các đối tác quốc tế lại yêu cầu hệ thống có thể truy cập các báo cáo chi tiết về giao dịch và quản lý thanh toán. Anh/Chị cần phải làm rõ các yêu cầu này trong quá trình phát triển và đảm bảo hệ thống sẽ đáp ứng được nhu cầu của tất cả các bên liên quan.
Anh/Chị sẽ làm gì để thu thập các yêu cầu từ các bên liên quan và tối ưu hóa giao diện người dùng cũng như khả năng mở rộng hệ thống?</t>
  </si>
  <si>
    <t>1. Thu thập làm rõ yêu cầu từ các bên liên quan
 + Tổ chức các buổi làm việc trực tiếp với ngân hàng và đối tác quốc tế để hiểu rõ yêu cầu về UI và yêu cầu khả năng mở rộng
 + Lấy yêu cầu từ khách hàng doanh nghiệp, trải nghiệm trên thiết bị di động và vấn đề đa ngôn ngữ
 + Phân tích hệ thống hiện tại để xác định các hạn chế và đưa ra đề xuất cải tiến
2. Tối ưu hóa giao diện người dùng UI
 + Thiết kế giao diện đơn giản, thân thiện với người dùng dễ hiểu nhưng đầy đủ chức năng
 + Phát triển giao diện tương thích cho các thiết bị máy tính bàn, laptop, thiết bị di động chạy trên mọi nền tảng
 + Hỗ trợ đa ngôn ngữ: xây dựng tính năng chuyển đổi ngôn ngữ
 + Giao diện có thể cho phép đối tác quốc tế truy cập các báo cáo chi tiết về giao dịch
3. Khả năng mở rộng hệ thống
 + Kiến trúc microservice giúp hệ thống dễ dàng mở rộng trong tương lai
 + Cơ chế phân tải luồng giao dịch: đáp ứng nhu cầu số lượng giao dịch lớn trong tương lai</t>
  </si>
  <si>
    <t>1. Tập trung vào các yêu cầu bảo mật và khả năng xử lý giao dịch lớn
 + Làm rõ chi tiết các yêu cầu từ đối tác quốc tế liên quan đến luồng giao dịch và hiệu suất hệ thống
 + Thiết kế giải pháp bảo mật ngay từ đầu, đảm bảo tuân thủ các chuẩn quốc tế
2. Tạm thời bỏ qua yêu cầu UI và khả năng mở rộng
 + Các yêu cầu giao diện có thể được giải quyết sau khi hệ thống ổn định.
 + Chưa tổ chức làm việc cụ thể với ngân hàng về trải nghiệm người dùng hoặc giao diện trên thiết bị di động
3. Làm rõ phần còn lại trong giai đoạn thử nghiệm
 + Dựa vào phản hồi từ người dùng sau khi triển khai để cập nhật UI và cải tiến hệ thống theo nhu cầu</t>
  </si>
  <si>
    <t>1. Đưa ra giải pháp giao diện đơn giản cho ngân hàng
 + Thiết kế giao diện trực quan, tối giản theo yêu cầu từ phía ngân hàng nội địa
 + Không ưu tiên các chức năng chi tiết hoặc khả năng tùy chỉnh theo nhu cầu người dùng quốc tế
2. Thu thập yêu cầu mở rộng hệ thống từ đối tác quốc tế
 + Làm việc riêng với đối tác quốc tế để hiểu nhu cầu xử lý giao dịch lớn
 + Chưa đồng bộ hóa các yêu cầu này với nhóm phát triển hệ thống tổng thể
3. Lùi yêu cầu chi tiết về UI và đa thiết bị sang phiên bản sau
 + Giao diện đa ngôn ngữ, tương thích thiết bị di động và báo cáo chi tiết được xem xét sau khi hệ thống vận hành ổn định</t>
  </si>
  <si>
    <t>1. Phát triển giao diện cơ bản ngay từ đầu
 + Ưu tiên các tính năng thiết yếu phục vụ quản lý tài khoản và giao dịch
 + Không khảo sát sâu các nhóm người dùng về tính tương thích thiết bị hoặc nhu cầu đa ngôn ngữ
2. Yêu cầu mở rộng hệ thống để hỗ trợ xử lý giao dịch lớn
 + Áp dụng kiến trúc hỗ trợ phân tải và mở rộng module nghiệp vụ
 +  Chưa đánh giá mức độ tác động của việc mở rộng đến giao diện và trải nghiệm người dùng
3. Hoàn thiện các yếu tố còn thiếu sau giai đoạn vận hành thử
 + Thu thập thêm yêu cầu về giao diện, báo cáo, trải nghiệm đa nền tảng, tích hợp tính năng giao dịch lớn vào UI sau khi hệ thống đi vào hoạt động</t>
  </si>
  <si>
    <t>Phân tích và tối ưu hóa quy trình nghiệp vụ: Phân tích, đánh giá để đưa ra các cải tiến và đề xuất các quy trình nghiệp vụ</t>
  </si>
  <si>
    <t xml:space="preserve">Trong quá trình thu thập yêu cầu nghiệp vụ từ các bên liên quan, việc làm rõ các yêu cầu là bước quan trọng để đảm bảo sự thành công của dự án. Bạn sẽ sử dụng phương pháp nào dưới đây để làm rõ yêu cầu nghiệp vụ một cách hiệu quả?
</t>
  </si>
  <si>
    <t>Sử dụng mẫu biểu đồ quy trình nghiệp vụ hoặc bảng use case đơn giản để trao đổi và làm rõ với các bên liên quan, đảm bảo thông tin rõ ràng và có thể xác nhận lại.</t>
  </si>
  <si>
    <t>Ghi nhận yêu cầu theo cách diễn đạt tự do của người dùng, không cần chuẩn hóa nội dung.</t>
  </si>
  <si>
    <t>Gửi email đề nghị bên liên quan tự mô tả chi tiết lại toàn bộ quy trình và yêu cầu.</t>
  </si>
  <si>
    <t>Ghi nhận nhanh các ý chính rồi chuyển sang bộ phận phát triển hệ thống để xử lý.</t>
  </si>
  <si>
    <t>Anh/Chị đang kiểm thử thủ công chức năng chuyển tiền liên ngân hàng 24/7. Trong một Test case, hệ thống yêu cầu: “Nếu tài khoản người gửi không đủ số dư sau khi trừ phí giao dịch, hệ thống không thực hiện giao dịch và hiển thị thông báo lỗi.”
Bước kiểm thử nào dưới đây là phù hợp nhất với kịch bản này?</t>
  </si>
  <si>
    <t>Yêu cầu đối tác cung cấp tài liệu chi tiết hơn, đồng thời sử dụng biểu mẫu/công cụ chuẩn để đánh giá các điểm chưa rõ ràng về trách nhiệm và thời gian xử lý.</t>
  </si>
  <si>
    <t>Ghi nhận toàn bộ quy trình hiện tại như được mô tả, không đặt thêm câu hỏi để đảm bảo không ảnh hưởng mối quan hệ đối tác.</t>
  </si>
  <si>
    <t>Tập trung phân tích riêng các bước kỹ thuật và bỏ qua phần thời gian xử lý vì thông tin chưa rõ.</t>
  </si>
  <si>
    <t>Đề nghị quản lý cấp trên đánh giá lại toàn bộ quy trình thay vì xử lý độc lập vì bạn chưa nắm rõ thông tin.</t>
  </si>
  <si>
    <t>Tài liệu phân tích nghiệp vụ hiện tại yêu cầu bổ sung nội dung nào sau đây để đảm bảo nguyên tắc toàn vẹn thông tin (Integrity) trong hệ thống thanh toán?</t>
  </si>
  <si>
    <t>Xác nhận rằng dữ liệu không bị thay đổi trong quá trình truyền dẫn và xử lý</t>
  </si>
  <si>
    <t>Cho phép chỉnh sửa dữ liệu giao dịch nếu phát hiện lỗi hiển thị</t>
  </si>
  <si>
    <t>Chỉ cần lưu bản sao định kỳ mà không cần xác thực tính nguyên bản</t>
  </si>
  <si>
    <t>Chấp nhận việc thay đổi dữ liệu nếu đến từ các hệ thống đã kết nối</t>
  </si>
  <si>
    <t>Trong quá trình phân tích một quy trình thanh toán, bạn nhận thấy thông tin khách hàng được truyền qua API không mã hóa. Bạn nên làm gì?</t>
  </si>
  <si>
    <t>Đề xuất bổ sung mã hóa dữ liệu truyền qua API để đảm bảo an toàn thông tin</t>
  </si>
  <si>
    <t>Giữ nguyên vì các hệ thống nội bộ không cần bảo mật</t>
  </si>
  <si>
    <t>Chỉ yêu cầu mã hóa nếu có khiếu nại từ phía khách hàng</t>
  </si>
  <si>
    <t>Thêm xác thực người dùng thay vì mã hóa dữ liệu</t>
  </si>
  <si>
    <t>Trong quá trình rà soát quy trình xử lý đối soát giao dịch nội mạng, Anh/Chị nhận thấy một bước kiểm tra file log giao dịch thủ công đang làm chậm thời gian xử lý cuối ngày. Với vai trò hỗ trợ phân tích nghiệp vụ, những phương án nào sau đây là phù hợp để đề xuất cải tiến?
(1) Tăng thêm nhân sự thực hiện kiểm tra file
(2) Sử dụng công cụ kiểm tra file tự động
(3) Đánh giá lại quy trình về việc kiểm tra file</t>
  </si>
  <si>
    <t>Sử dụng công cụ kiểm tra file tự động
Đánh giá lại quy trình về việc kiểm tra file</t>
  </si>
  <si>
    <t>Tăng thêm nhân sự thực hiện kiểm tra file</t>
  </si>
  <si>
    <t>Trong quá trình làm việc với bộ phận vận hành thẻ, Anh/Chị được đề nghị hỗ trợ phân tích quy trình xử lý yêu cầu hoàn tiền do giao dịch lỗi. Hiện quy trình bao gồm 5 bước xử lý qua 3 bộ phận khác nhau, trong đó có 1 bước kiểm tra trùng lặp dữ liệu gây chậm trễ. Theo Anh/Chị, đâu là cách tiếp cận phù hợp?</t>
  </si>
  <si>
    <t>- Vẽ lại sơ đồ quy trình để minh họa luồng xử lý hiện tại.
- Phân tích chi tiết điểm nghẽn ở bước kiểm tra trùng lặp.
- Căn cứ trên bản phân tích đưa ra đề xuất cải tiến.</t>
  </si>
  <si>
    <t>- Tìm hiểu thêm các quy trình liên quan đến thẻ quốc tế để tham khảo áp dụng mô hình tương tự
- Từ đó đề xuất cải tiến dựa trên so sánh giữa quy trình nội địa và quốc tế</t>
  </si>
  <si>
    <t>- Chuyển toàn bộ thông tin thu thập được sang bộ phận nghiệp vụ để xử lý do chưa rõ nguyên nhân làm chậm quy trình là ở bộ phận nào</t>
  </si>
  <si>
    <t>- Ghi nhận lại toàn bộ quy trình như hiện tại, bổ sung tài liệu chi tiết hướng dẫn thực hiện từng bước để đảm bảo bộ phận nào vào việc cũng nắm được cách làm và không gây trễ tiến độ.</t>
  </si>
  <si>
    <t>Trong quá trình rà soát quy trình xử lý đối soát giao dịch nội mạng, Anh/Chị nhận thấy một bước kiểm tra file log giao dịch thủ công đang làm chậm thời gian xử lý cuối ngày. Với vai trò hỗ trợ phân tích nghiệp vụ, phương án nào sau đây là phù hợp để đề xuất cải tiến?</t>
  </si>
  <si>
    <t xml:space="preserve">Đề xuất tự động hóa bước kiểm tra file log bằng cách tích hợp công cụ phân tích log vào quy trình xử lý để giảm thời gian và sai sót. </t>
  </si>
  <si>
    <t>Thống kê lại toàn bộ lỗi thường gặp trong log, lập tài liệu hướng dẫn xử lý cho từng loại lỗi, gửi sang bộ phận kỹ thuật để lập trình lại quy trình theo logic mới nếu cần thiết.</t>
  </si>
  <si>
    <t>Ghi nhận vấn đề làm chậm xử lý và đề xuất điều chỉnh thời gian làm việc của nhóm kiểm tra log sớm hơn trong ngày để tránh dồn việc vào cuối giờ cao điểm.</t>
  </si>
  <si>
    <t>Tham khảo cách kiểm tra log của các nhóm khác trong công ty, đề xuất đồng nhất quy trình giữa các nhóm để tránh nhầm lẫn khi điều chuyển nhân sự hoặc luân chuyển vị trí.</t>
  </si>
  <si>
    <t>Trong kết nối API giữa NAPAS và hệ thống thanh toán của đối tác, yêu cầu nào sau đây thể hiện đúng nguyên tắc bảo mật?</t>
  </si>
  <si>
    <t>Sử dụng giao thức HTTPS với xác thực token và mã hóa hai chiều trong quá trình truyền tải</t>
  </si>
  <si>
    <t>Sử dụng HTTP để tăng tốc độ và thêm mã xác minh tĩnh</t>
  </si>
  <si>
    <t>Chỉ cần đối tác gửi IP whitelisted là có thể truy cập hệ thống</t>
  </si>
  <si>
    <t>Xác thực một chiều bằng mật khẩu đơn giản nếu kết nối trong mạng nội bộ</t>
  </si>
  <si>
    <t>Khi thu thập yêu cầu cho dịch vụ “nạp tiền điện tử” từ phía đối tác, đâu là yếu tố cần làm rõ để đảm bảo bảo vệ dữ liệu cá nhân?</t>
  </si>
  <si>
    <t>Thông tin người nhận (như số điện thoại, tài khoản, nội dung giao dịch) phải được mã hóa khi lưu trữ và truyền tải</t>
  </si>
  <si>
    <t>Chỉ cần bảo vệ thông tin khách hàng nếu giao dịch có giá trị trên 10 triệu đồng</t>
  </si>
  <si>
    <t>Bảo mật dữ liệu là trách nhiệm của hệ thống ngân hàng, không phải của bên trung gian như NAPAS</t>
  </si>
  <si>
    <t>Không cần bảo vệ dữ liệu nếu khách hàng không yêu cầu cụ thể</t>
  </si>
  <si>
    <t xml:space="preserve">Trong quá trình vận hành hệ thống chuyển tiền nhanh NRT, một số ngân hàng phản ánh tình trạng chậm trễ trong xử lý tra soát. Anh/Chị được giao rà soát luồng nghiệp vụ xử lý tra soát nội dung lỗi và hoàn tiền. Qua khảo sát, Anh/Chị phát hiện:
- 30% giao dịch lỗi không được ghi nhận mã lỗi chuẩn.
- Hệ thống chưa có phân tuyến tự động xử lý tra soát đơn giản.
- Quy trình phản hồi kết quả tra soát giữa ngân hàng và Napas đang thực hiện qua email.
- Thời gian xử lý trung bình 2 ngày/giao dịch.
Phương án nào là phù hợp để đề xuất cải tiến quy trình?
</t>
  </si>
  <si>
    <t>- Xác định và cập nhật lại mã lỗi chuẩn cho từng tình huống lỗi
- Rà soát đánh giá và cập nhật lại quy trình xử lý nghiệp vụ cho các đầu mục sau:
   + Đánh giá bổ sung các điều kiện đầu vào để phân tuyến sang luồng xử lý tra soát đơn giản
   + Thay thế việc phản hồi kết quả tra soát qua email bằng API
   + Đánh giá xem có thể rút ngắn thời gian xử lý tra soát hay không</t>
  </si>
  <si>
    <t>- Xác định và cập nhật lại mã lỗi chuẩn cho từng tình huống lỗi
- Rà soát đánh giá và cập nhật lại quy trình xử lý nghiệp vụ cho các đầu mục sau:
   + Đánh giá giảm thiểu các điều kiện đầu vào để đơn giản hoá giai đoạn đầu của việc tra soát
   + Thay thế việc phản hồi kết quả tra soát qua email bằng API
   + Đánh giá xem có thể rút ngắn thời gian xử lý tra soát hay không</t>
  </si>
  <si>
    <t>- Xác định và cập nhật lại mã lỗi chuẩn cho từng tình huống lỗi
- Bổ sung nguồn lực để rút ngắn thời gian xử lý tra soát</t>
  </si>
  <si>
    <t>- Xác định và cập nhật lại mã lỗi chuẩn cho từng tình huống lỗi
- Còn lại duy trì hệ thống xử lý tra soát như cũ để tránh xảy ra thêm lỗi</t>
  </si>
  <si>
    <t>Trong dự án triển khai dịch vụ thanh toán hóa đơn định kỳ, Anh/Chị nhận thấy hiện có quá nhiều bước xác nhận giữa các phòng: kinh doanh, kỹ thuật, pháp chế. Sau khảo sát, Anh/Chị ghi nhận:
- Mỗi đơn vị đang sử dụng biểu mẫu khác nhau;
- Quy trình xét duyệt hợp đồng dịch vụ kéo dài 10–14 ngày;
- Bên cung cấp dịch vụ (điện, nước, học phí…) thường xuyên thay đổi mẫu hóa đơn nhưng không thông báo trước;
- Hệ thống chưa có cảnh báo tự động khi dữ liệu gửi về bị lỗi định dạng.
Với vai trò là cán bộ phân tích nghiệp vụ, phương án nào sau đây là phù hợp để đề xuất cải tiến quy trình?</t>
  </si>
  <si>
    <t>- Xây dựng bộ biểu mẫu chung thống nhất giữa các bên để giảm thời gian xử lý. 
- Sử dụng phần mềm để quản lý hợp đồng để theo dõi tiến độ xét duyệt. Có thể xét duyệt hợp đồng theo cơ chế rủi ro để hợp đồng đơn giản có thể được duyệt nhanh hơn.
- Xây dựng cơ chế cập nhật tự động với bên nhà cung cấp: 
 + Thiết lập cảnh bảo khi có thay đổi mẫu hóa đơn từ nhà cung cấp.
 + Yêu cầu NCC phải có thông báo cập nhật thay đổi qua API hoặc qua kênh/nền tảng trực tuyến chung
- Thêm tính năng kiểm tra tự động dữ liệu đầu vào, phát hiện và cảnh báo lỗi định dạng trước khi xử lý dữ liệu</t>
  </si>
  <si>
    <t>- Tổ chức các buổi làm việc định kỳ giữa các phòng để rà soát biểu mẫu sử dụng
- Giữ nguyên quy trình duyệt hợp đồng hiện tại để đảm bảo đầy đủ kiểm soát
- Trong trường hợp phát hiện sai lệch dữ liệu, tổng hợp và gửi email báo cáo hàng tuần đến bộ phận kỹ thuật để theo dõi.</t>
  </si>
  <si>
    <t>- Tiếp tục cho phép mỗi đơn vị sử dụng biểu mẫu riêng để linh hoạt hơn
- Sử dụng bảng theo dõi Excel để tổng hợp tình trạng xử lý và cập nhật định kỳ cho cấp quản lý.
- Tăng cường đào tạo kỹ năng nghiệp vụ và nhận diện lỗi dữ liệu cho các nhóm xử lý hợp đồng</t>
  </si>
  <si>
    <t>- Phân chia quy trình xét duyệt hợp đồng theo từng nhóm ngành dịch vụ như điện, nước, giáo dục… để chuyên môn hóa xử lý
- Giao một nhóm chuyên trách tiếp nhận dữ liệu và kiểm tra thủ công để đảm bảo đầu vào chính xác
- Duy trì liên hệ với từng nhà cung cấp qua kênh email để trao đổi khi có thay đổi mẫu biểu.</t>
  </si>
  <si>
    <t>Bạn phát hiện mỗi kênh thanh toán có cách xác thực khác nhau. Giải pháp nào sau đây nên được đề xuất?</t>
  </si>
  <si>
    <t>Chuẩn hóa cơ chế xác thực đa yếu tố (MFA) thống nhất trên toàn bộ các kênh, đảm bảo toàn vẹn và tính xác thực của người dùng</t>
  </si>
  <si>
    <t>Tăng số ký tự mật khẩu ở Internet Banking để bù lại các kênh còn lại</t>
  </si>
  <si>
    <t>Giữ nguyên hiện trạng để không ảnh hưởng đến trải nghiệm người dùng trên kênh ATM</t>
  </si>
  <si>
    <t>Tập trung vào giao diện người dùng và giảm ưu tiên cho yêu cầu bảo mật để triển khai nhanh</t>
  </si>
  <si>
    <t>Trong quá trình phân tích nghiệp vụ cho dịch vụ "Chuyển tiền liên ngân hàng qua thẻ" tại một tổ chức tài chính, bạn nhận thấy việc kiểm tra trùng lặp giao dịch diễn ra tại ba điểm trong quy trình, gây chậm trễ xử lý và tiêu tốn tài nguyên. Giải pháp tối ưu nào sau đây vừa đảm bảo an toàn thông tin vừa nâng cao hiệu suất xử lý quy trình?</t>
  </si>
  <si>
    <t>Đề xuất gom kiểm tra trùng lặp vào một điểm kiểm soát trung tâm có xác thực luồng và mã hóa dữ liệu toàn trình để vừa đảm bảo tốc độ vừa bảo mật</t>
  </si>
  <si>
    <t>Loại bỏ bước kiểm tra trùng lặp để giảm thời gian xử lý, chỉ giữ xác thực người dùng</t>
  </si>
  <si>
    <t>Chuyển kiểm tra trùng lặp sang phía ngân hàng đích để giảm tải cho hệ thống Napas</t>
  </si>
  <si>
    <t xml:space="preserve">Áp dụng kiểm tra trùng lặp sau khi giao dịch đã được xử lý thành công nhằm không làm gián đoạn quy trình
</t>
  </si>
  <si>
    <t>Trong quá trình rà soát hệ thống ACH, Anh/Chị nhận thấy một số giao dịch liên ngân hàng của nhóm ngân hàng Top 5 mất đến 9-11 phút để xử lý. Theo KPI ban đầu là &lt;3 phút. Từ log kỹ thuật và phản hồi từ bộ phận vận hành, xác định các nguyên nhân:
- Một số ngân hàng vẫn sử dụng phiên bản API cũ, không hỗ trợ chuẩn đối soát tự động theo lô.
- Mã định danh ngân hàng đầu cuối trong giao dịch không đồng bộ với danh mục nội bộ.
- Giao dịch có độ trễ do lệch múi giờ xử lý batch, đặc biệt với ngân hàng có hệ thống đặt tại trung tâm dữ liệu nước ngoài.
- Retry logic lỗi tạm thời phía ngân hàng chưa được kích hoạt theo đúng chuẩn mới (mới ban hành từ Q4/2024).
- Thống kê lỗi chỉ được gửi tổng hợp cuối ngày, thiếu báo cáo phân tách theo nguyên nhân gây lỗi.
Đâu là  giải pháp Anh/Chị nên triển khai để tối ưu hóa thời gian xử lý giao dịch ACH và ngăn lỗi tái diễn?</t>
  </si>
  <si>
    <t>- Yêu cầu và hỗ trợ tất cả ngân hàng nâng cấp lên phiên bản mới, nếu không sẽ không thực hiện được giao dịch.
- Đồng nhất mã định danh tại tất cả các chức năng
- Đưa ra quy định về múi giờ, có thể áp dụng với tất cả ngân hàng hoặc từng ngân hàng cụ thể
- Yêu cầu và hỗ trợ ngân hàng kích hoạt cơ chế retry theo chuẩn mới ban hành
- Tăng tần suất gửi thống kê lỗi, bổ sung thêm báo cáo phân tích nguyên nhân lỗi</t>
  </si>
  <si>
    <t>- Yêu cầu các ngân hàng nâng cấp toàn bộ hạ tầng mạng quốc tế
- Tăng thời gian timeout trên hệ thống trung gian để đợi giao dịch hoàn tất
- Xây dựng quy trình nhập liệu đối chiếu thủ công để xử lý các giao dịch bất thường
- Áp dụng theo dõi toàn bộ log xử lý theo từng phiên xử lý riêng lẻ</t>
  </si>
  <si>
    <t>-Tạm hoãn các giao dịch từ những ngân hàng chưa cập nhật API chuẩn mới và chỉ tiếp tục xử lý sau khi họ hoàn tất nâng cấpe
- Yêu cầu các đơn vị vận hành xử lý đối soát thủ công hằng ngày
- Không cần điều chỉnh mã định danh trong thời điểm hiện tại vì phức tạp trong quy trình kỹ thuật
- Kiểm tra log lỗi định kỳ mỗi 72 giờ.</t>
  </si>
  <si>
    <t>- Đề xuất xây dựng thêm cổng xử lý giao dịch song song để giảm tải hệ thống chính
- Chuyển trách nhiệm retry logic về phía Napas
- Tiếp tục dùng định dạng batch hiện tại để tránh ảnh hưởng ngân hàng đối tác
- Thống kê lỗi mỗi tháng để giảm chi phí giám sát vận hành.</t>
  </si>
  <si>
    <t>Anh/Chị được giao quản lý cải tiến luồng đối soát giao dịch đa kênh: ACH, QR Code, giao dịch NAPAS247 và các luồng liên thông. Trong quá trình phân tích thực trạng, ghi nhận:
- Hệ thống QR Code gửi dữ liệu theo chuẩn XML, ACH theo JSON, trong khi phần mềm đối soát chỉ hỗ trợ CSV.
- Một số đối tác ngân hàng gửi dữ liệu đối soát trễ (T+2), gây sai lệch tích lũy trong thống kê và không thể khớp thời gian thực.
- Giao dịch từ kênh NAPAS247 không có mã định danh giao dịch thống nhất, gây khó khăn truy vết khi đối chiếu.
- Vận hành nội bộ vẫn sử dụng Excel để kiểm tra số liệu thủ công, dẫn đến xung đột version.
- Bộ phận kỹ thuật đề xuất tạm đóng luồng QR trong các ngày cao điểm để giảm tải hệ thống.
Giải pháp nào dưới đây sẽ giúp Anh/Chị tối ưu quy trình đối soát đa kênh?</t>
  </si>
  <si>
    <t>Thực hiện nâng cấp hệ thống đối soát giao dịch:
- Dùng hệ thống tích hợp đứng giữa để thực hiện convert các chuẩn XML, JSON, CSV giữa các hệ thống đáp ứng được việc đối soát giữa các kênh khác nhau
- Việc đối soát phải thực hiện sau phiên T nên một số ngân hàng gửi đối soát T+2 là chuyện bình thường
- Nâng cấp hệ thống để giao dịch kênh Napas247 sẽ chỉ có 1 mã định danh giao dịch duy nhất, dùng cho việc truy vết và đối chiếu
- Đề xuất hệ thống tự động thực hiện kiểm tra số liệu để tránh việc làm thủ công mất thời gian, xung đột version
- Đề xuất phân luồng giao dịch để giảm tải hệ thống chứ không đóng luồng QR</t>
  </si>
  <si>
    <t>Thực hiện nâng cấp hệ thống đối soát giao dịch:
- Chuyển các luồng giao dịch về xử lý theo batch T+2 để thống nhất thời gian đối chiếu
- Giữ nguyên các định dạng dữ liệu cũ và đề nghị các ngân hàng thông báo thường xuyên về những cập nhật mã định danh
- Tiếp tục duy trì file Excel và tăng nhân lực kiểm tra đối soát thủ công.</t>
  </si>
  <si>
    <t>Yêu cầu từng phòng ban phụ trách riêng từng kênh để xử lý đối soát độc lập, hạn chế tích hợp liên kênh; chờ bộ phận kỹ thuật hoàn thiện API tích hợp; ưu tiên xử lý giao dịch lớn, bỏ qua các giao dịch nhỏ trong báo cáo thống kê.</t>
  </si>
  <si>
    <t>Thực hiện nâng cấp hệ thống đối soát giao dịch:
- Dùng hệ thống tích hợp đứng giữa để thực hiện convert các chuẩn XML, JSON, CSV giữa các hệ thống đáp ứng được việc đối soát giữa các kênh khác nhau
- Chuyển các luồng giao dịch về xử lý theo batch T+2 để thống nhất thời gian đối chiếu
- Đề nghị các ngân hàng thông báo thường xuyên về những cập nhật mã định danh
- Đề xuất hệ thống tự động thực hiện kiểm tra số liệu để tránh việc làm thủ công mất thời gian, xung đột version
- Đề xuất phân luồng giao dịch để giảm tải hệ thống chứ không đóng luồng QR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</si>
</sst>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Aptos Narrow"/>
      <family val="2"/>
      <scheme val="minor"/>
    </font>
    <font>
      <b/>
      <sz val="10"/>
      <color theme="1"/>
      <name val="Arial"/>
      <family val="2"/>
    </font>
    <font>
      <sz val="10"/>
      <color rgb="FF000000"/>
      <name val="Arial"/>
      <family val="2"/>
    </font>
    <font>
      <sz val="11"/>
      <color theme="1"/>
      <name val="Arial"/>
      <family val="2"/>
    </font>
    <font>
      <sz val="10"/>
      <color theme="1"/>
      <name val="Arial"/>
      <family val="2"/>
    </font>
    <font>
      <sz val="10"/>
      <name val="Arial"/>
      <family val="2"/>
    </font>
    <font>
      <b/>
      <sz val="10"/>
      <color theme="0"/>
      <name val="Arial"/>
      <family val="2"/>
    </font>
    <font>
      <i/>
      <sz val="9"/>
      <color theme="1"/>
      <name val="Arial"/>
      <family val="2"/>
    </font>
    <font>
      <b/>
      <sz val="16"/>
      <color theme="1"/>
      <name val="Arial"/>
      <family val="2"/>
    </font>
    <font>
      <b/>
      <sz val="11"/>
      <color theme="1"/>
      <name val="Arial"/>
      <family val="2"/>
    </font>
    <font>
      <b/>
      <sz val="11"/>
      <color theme="0"/>
      <name val="Arial"/>
      <family val="2"/>
    </font>
  </fonts>
  <fills count="11">
    <fill>
      <patternFill patternType="none"/>
    </fill>
    <fill>
      <patternFill patternType="gray125"/>
    </fill>
    <fill>
      <patternFill patternType="solid">
        <fgColor theme="0" tint="-4.9989318521683403E-2"/>
        <bgColor indexed="64"/>
      </patternFill>
    </fill>
    <fill>
      <patternFill patternType="solid">
        <fgColor theme="3" tint="9.9978637043366805E-2"/>
        <bgColor indexed="64"/>
      </patternFill>
    </fill>
    <fill>
      <patternFill patternType="solid">
        <fgColor theme="5" tint="-0.499984740745262"/>
        <bgColor indexed="64"/>
      </patternFill>
    </fill>
    <fill>
      <patternFill patternType="solid">
        <fgColor theme="5" tint="0.79998168889431442"/>
        <bgColor indexed="64"/>
      </patternFill>
    </fill>
    <fill>
      <patternFill patternType="solid">
        <fgColor theme="1" tint="0.499984740745262"/>
        <bgColor indexed="64"/>
      </patternFill>
    </fill>
    <fill>
      <patternFill patternType="solid">
        <fgColor theme="1" tint="0.34998626667073579"/>
        <bgColor indexed="64"/>
      </patternFill>
    </fill>
    <fill>
      <patternFill patternType="solid">
        <fgColor theme="2" tint="-9.9978637043366805E-2"/>
        <bgColor indexed="64"/>
      </patternFill>
    </fill>
    <fill>
      <patternFill patternType="solid">
        <fgColor theme="3" tint="0.89999084444715716"/>
        <bgColor indexed="64"/>
      </patternFill>
    </fill>
    <fill>
      <patternFill patternType="solid">
        <fgColor theme="0"/>
        <bgColor indexed="64"/>
      </patternFill>
    </fill>
  </fills>
  <borders count="4">
    <border>
      <left/>
      <right/>
      <top/>
      <bottom/>
      <diagonal/>
    </border>
    <border>
      <left style="thin">
        <color theme="2" tint="-0.249977111117893"/>
      </left>
      <right style="thin">
        <color theme="2" tint="-0.249977111117893"/>
      </right>
      <top style="thin">
        <color theme="2" tint="-0.249977111117893"/>
      </top>
      <bottom style="thin">
        <color theme="2" tint="-0.249977111117893"/>
      </bottom>
      <diagonal/>
    </border>
    <border diagonalDown="1">
      <left style="thin">
        <color theme="2" tint="-0.249977111117893"/>
      </left>
      <right style="thin">
        <color theme="2" tint="-0.249977111117893"/>
      </right>
      <top style="thin">
        <color theme="2" tint="-0.249977111117893"/>
      </top>
      <bottom style="thin">
        <color theme="2" tint="-0.249977111117893"/>
      </bottom>
      <diagonal style="thin">
        <color theme="2" tint="-0.249977111117893"/>
      </diagonal>
    </border>
    <border>
      <left style="thin">
        <color theme="2" tint="-0.249977111117893"/>
      </left>
      <right style="thin">
        <color theme="2" tint="-0.249977111117893"/>
      </right>
      <top style="thin">
        <color theme="2" tint="-0.249977111117893"/>
      </top>
      <bottom style="thin">
        <color indexed="64"/>
      </bottom>
      <diagonal/>
    </border>
  </borders>
  <cellStyleXfs count="2">
    <xf numFmtId="0" fontId="0" fillId="0" borderId="0"/>
    <xf numFmtId="0" fontId="2" fillId="0" borderId="0"/>
  </cellStyleXfs>
  <cellXfs count="36">
    <xf numFmtId="0" fontId="0" fillId="0" borderId="0" xfId="0"/>
    <xf numFmtId="0" fontId="10" fillId="3" borderId="1" xfId="0" applyFont="1" applyFill="1" applyBorder="1" applyAlignment="1">
      <alignment horizontal="center" vertical="center" wrapText="1"/>
    </xf>
    <xf numFmtId="0" fontId="9" fillId="9" borderId="1" xfId="0" applyFont="1" applyFill="1" applyBorder="1" applyAlignment="1">
      <alignment horizontal="center" vertical="center"/>
    </xf>
    <xf numFmtId="0" fontId="6" fillId="3" borderId="1" xfId="0" applyFont="1" applyFill="1" applyBorder="1" applyAlignment="1">
      <alignment horizontal="center" vertical="center" wrapText="1"/>
    </xf>
    <xf numFmtId="0" fontId="1" fillId="2" borderId="1" xfId="0" applyFont="1" applyFill="1" applyBorder="1" applyAlignment="1">
      <alignment horizontal="center" vertical="center"/>
    </xf>
    <xf numFmtId="0" fontId="4" fillId="0" borderId="1" xfId="0" applyFont="1" applyBorder="1" applyAlignment="1">
      <alignment horizontal="center" vertical="center"/>
    </xf>
    <xf numFmtId="0" fontId="4" fillId="0" borderId="1" xfId="0" applyFont="1" applyBorder="1" applyAlignment="1">
      <alignment horizontal="center" vertical="center" wrapText="1"/>
    </xf>
    <xf numFmtId="0" fontId="4" fillId="0" borderId="1" xfId="0" applyFont="1" applyBorder="1" applyAlignment="1">
      <alignment vertical="center" wrapText="1"/>
    </xf>
    <xf numFmtId="0" fontId="8" fillId="0" borderId="0" xfId="0" applyFont="1" applyAlignment="1">
      <alignment horizontal="left" vertical="center"/>
    </xf>
    <xf numFmtId="0" fontId="3" fillId="0" borderId="0" xfId="0" applyFont="1" applyAlignment="1">
      <alignment horizontal="center" vertical="center"/>
    </xf>
    <xf numFmtId="0" fontId="3" fillId="0" borderId="0" xfId="0" applyFont="1" applyAlignment="1">
      <alignment vertical="center"/>
    </xf>
    <xf numFmtId="0" fontId="6" fillId="3" borderId="2" xfId="0" applyFont="1" applyFill="1" applyBorder="1" applyAlignment="1">
      <alignment vertical="center" wrapText="1"/>
    </xf>
    <xf numFmtId="0" fontId="6" fillId="6" borderId="1" xfId="0" applyFont="1" applyFill="1" applyBorder="1" applyAlignment="1">
      <alignment horizontal="center" vertical="center" wrapText="1"/>
    </xf>
    <xf numFmtId="0" fontId="7" fillId="0" borderId="1" xfId="0" quotePrefix="1" applyFont="1" applyBorder="1" applyAlignment="1">
      <alignment horizontal="center" vertical="center" wrapText="1"/>
    </xf>
    <xf numFmtId="0" fontId="7" fillId="0" borderId="0" xfId="0" applyFont="1" applyAlignment="1">
      <alignment vertical="center"/>
    </xf>
    <xf numFmtId="0" fontId="4" fillId="5" borderId="1" xfId="0" applyFont="1" applyFill="1" applyBorder="1" applyAlignment="1">
      <alignment vertical="center" wrapText="1"/>
    </xf>
    <xf numFmtId="0" fontId="4" fillId="8" borderId="1" xfId="0" quotePrefix="1" applyFont="1" applyFill="1" applyBorder="1" applyAlignment="1">
      <alignment vertical="center" wrapText="1"/>
    </xf>
    <xf numFmtId="0" fontId="4" fillId="0" borderId="1" xfId="0" quotePrefix="1" applyFont="1" applyBorder="1" applyAlignment="1">
      <alignment vertical="center" wrapText="1"/>
    </xf>
    <xf numFmtId="0" fontId="4" fillId="8" borderId="1" xfId="0" applyFont="1" applyFill="1" applyBorder="1" applyAlignment="1">
      <alignment vertical="center" wrapText="1"/>
    </xf>
    <xf numFmtId="0" fontId="5" fillId="8" borderId="1" xfId="1" applyFont="1" applyFill="1" applyBorder="1" applyAlignment="1" applyProtection="1">
      <alignment horizontal="left" vertical="center" wrapText="1"/>
      <protection locked="0"/>
    </xf>
    <xf numFmtId="0" fontId="5" fillId="0" borderId="1" xfId="1" applyFont="1" applyBorder="1" applyAlignment="1" applyProtection="1">
      <alignment horizontal="left" vertical="center" wrapText="1"/>
      <protection locked="0"/>
    </xf>
    <xf numFmtId="0" fontId="4" fillId="0" borderId="3" xfId="0" applyFont="1" applyBorder="1" applyAlignment="1">
      <alignment horizontal="center" vertical="center"/>
    </xf>
    <xf numFmtId="0" fontId="4" fillId="0" borderId="3" xfId="0" applyFont="1" applyBorder="1" applyAlignment="1">
      <alignment horizontal="center" vertical="center" wrapText="1"/>
    </xf>
    <xf numFmtId="0" fontId="4" fillId="0" borderId="3" xfId="0" applyFont="1" applyBorder="1" applyAlignment="1">
      <alignment vertical="center" wrapText="1"/>
    </xf>
    <xf numFmtId="0" fontId="4" fillId="5" borderId="3" xfId="0" applyFont="1" applyFill="1" applyBorder="1" applyAlignment="1">
      <alignment vertical="center" wrapText="1"/>
    </xf>
    <xf numFmtId="0" fontId="4" fillId="10" borderId="0" xfId="0" applyFont="1" applyFill="1" applyAlignment="1">
      <alignment horizontal="center" vertical="center"/>
    </xf>
    <xf numFmtId="0" fontId="4" fillId="10" borderId="0" xfId="0" applyFont="1" applyFill="1" applyAlignment="1">
      <alignment horizontal="center" vertical="center" wrapText="1"/>
    </xf>
    <xf numFmtId="0" fontId="4" fillId="10" borderId="0" xfId="0" applyFont="1" applyFill="1" applyAlignment="1">
      <alignment vertical="center" wrapText="1"/>
    </xf>
    <xf numFmtId="0" fontId="3" fillId="10" borderId="0" xfId="0" applyFont="1" applyFill="1" applyAlignment="1">
      <alignment vertical="center"/>
    </xf>
    <xf numFmtId="0" fontId="5" fillId="10" borderId="0" xfId="1" applyFont="1" applyFill="1" applyAlignment="1" applyProtection="1">
      <alignment horizontal="left" vertical="center" wrapText="1"/>
      <protection locked="0"/>
    </xf>
    <xf numFmtId="0" fontId="4" fillId="10" borderId="0" xfId="0" quotePrefix="1" applyFont="1" applyFill="1" applyAlignment="1">
      <alignment vertical="center" wrapText="1"/>
    </xf>
    <xf numFmtId="0" fontId="3" fillId="10" borderId="0" xfId="0" applyFont="1" applyFill="1" applyAlignment="1">
      <alignment horizontal="center" vertical="center"/>
    </xf>
    <xf numFmtId="0" fontId="4" fillId="8" borderId="3" xfId="0" applyFont="1" applyFill="1" applyBorder="1" applyAlignment="1">
      <alignment vertical="center" wrapText="1"/>
    </xf>
    <xf numFmtId="0" fontId="6" fillId="4" borderId="1" xfId="0" applyFont="1" applyFill="1" applyBorder="1" applyAlignment="1">
      <alignment horizontal="center" vertical="center" wrapText="1"/>
    </xf>
    <xf numFmtId="0" fontId="6" fillId="7" borderId="1" xfId="0" applyFont="1" applyFill="1" applyBorder="1" applyAlignment="1">
      <alignment horizontal="center" vertical="center" wrapText="1"/>
    </xf>
    <xf numFmtId="0" fontId="6" fillId="3" borderId="1" xfId="0" applyFont="1" applyFill="1" applyBorder="1" applyAlignment="1">
      <alignment horizontal="center" vertical="center" wrapText="1"/>
    </xf>
  </cellXfs>
  <cellStyles count="2">
    <cellStyle name="Normal" xfId="0" builtinId="0"/>
    <cellStyle name="Normal 2" xfId="1" xr:uid="{17F16F5E-965D-40AC-9573-37F3BFECD5A9}"/>
  </cellStyles>
  <dxfs count="1">
    <dxf>
      <fill>
        <patternFill>
          <bgColor rgb="FFFCF0B2"/>
        </patternFill>
      </fill>
    </dxf>
  </dxfs>
  <tableStyles count="0" defaultTableStyle="TableStyleMedium2" defaultPivotStyle="PivotStyleLight16"/>
  <colors>
    <mruColors>
      <color rgb="FFFCF0B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05C0B0-9D89-4729-AC6E-7F1010ED0730}">
  <dimension ref="B1:J113"/>
  <sheetViews>
    <sheetView showGridLines="0" tabSelected="1" zoomScale="70" zoomScaleNormal="70" workbookViewId="0">
      <selection activeCell="C13" sqref="C13:J56"/>
    </sheetView>
  </sheetViews>
  <sheetFormatPr defaultColWidth="9" defaultRowHeight="14.25" outlineLevelRow="1" x14ac:dyDescent="0.25"/>
  <cols>
    <col min="1" max="1" width="2.85546875" style="28" customWidth="1"/>
    <col min="2" max="2" width="7.85546875" style="31" customWidth="1"/>
    <col min="3" max="3" width="9" style="31"/>
    <col min="4" max="4" width="23.42578125" style="28" customWidth="1"/>
    <col min="5" max="5" width="9" style="31"/>
    <col min="6" max="10" width="45.42578125" style="28" customWidth="1"/>
    <col min="11" max="11" width="9" style="28"/>
    <col min="12" max="12" width="12.7109375" style="28" customWidth="1"/>
    <col min="13" max="16384" width="9" style="28"/>
  </cols>
  <sheetData>
    <row r="1" spans="2:10" s="10" customFormat="1" x14ac:dyDescent="0.25">
      <c r="B1" s="9"/>
      <c r="C1" s="9"/>
      <c r="E1" s="9"/>
    </row>
    <row r="2" spans="2:10" s="10" customFormat="1" ht="26.25" customHeight="1" x14ac:dyDescent="0.25">
      <c r="B2" s="8" t="s">
        <v>12</v>
      </c>
      <c r="C2" s="9"/>
      <c r="E2" s="9"/>
    </row>
    <row r="3" spans="2:10" s="10" customFormat="1" ht="10.35" customHeight="1" x14ac:dyDescent="0.25">
      <c r="B3" s="8"/>
      <c r="C3" s="9"/>
      <c r="E3" s="9"/>
    </row>
    <row r="4" spans="2:10" s="10" customFormat="1" ht="31.5" customHeight="1" outlineLevel="1" x14ac:dyDescent="0.25">
      <c r="B4" s="8"/>
      <c r="C4" s="9"/>
      <c r="D4" s="11" t="s">
        <v>10</v>
      </c>
      <c r="E4" s="3" t="s">
        <v>11</v>
      </c>
      <c r="F4" s="4">
        <v>1</v>
      </c>
      <c r="G4" s="4">
        <v>2</v>
      </c>
      <c r="H4" s="4">
        <v>3</v>
      </c>
    </row>
    <row r="5" spans="2:10" s="10" customFormat="1" ht="20.100000000000001" customHeight="1" outlineLevel="1" x14ac:dyDescent="0.25">
      <c r="B5" s="8"/>
      <c r="C5" s="9"/>
      <c r="D5" s="3" t="s">
        <v>11</v>
      </c>
      <c r="E5" s="1">
        <f>SUM(E6:E9)</f>
        <v>43</v>
      </c>
      <c r="F5" s="2">
        <f>SUM(F6:F9)</f>
        <v>14</v>
      </c>
      <c r="G5" s="2">
        <f t="shared" ref="G5:H5" si="0">SUM(G6:G9)</f>
        <v>15</v>
      </c>
      <c r="H5" s="2">
        <f t="shared" si="0"/>
        <v>14</v>
      </c>
    </row>
    <row r="6" spans="2:10" s="10" customFormat="1" ht="20.100000000000001" customHeight="1" outlineLevel="1" x14ac:dyDescent="0.25">
      <c r="B6" s="8"/>
      <c r="C6" s="9"/>
      <c r="D6" s="4">
        <v>1</v>
      </c>
      <c r="E6" s="2">
        <f>SUM(F6:H6)</f>
        <v>12</v>
      </c>
      <c r="F6" s="5">
        <f>COUNTIFS($E$13:$E$200,$D6,$C$13:$C$200,F$4)</f>
        <v>4</v>
      </c>
      <c r="G6" s="5">
        <f t="shared" ref="G6:H9" si="1">COUNTIFS($E$13:$E$200,$D6,$C$13:$C$200,G$4)</f>
        <v>4</v>
      </c>
      <c r="H6" s="5">
        <f t="shared" si="1"/>
        <v>4</v>
      </c>
    </row>
    <row r="7" spans="2:10" s="10" customFormat="1" ht="20.100000000000001" customHeight="1" outlineLevel="1" x14ac:dyDescent="0.25">
      <c r="B7" s="8"/>
      <c r="C7" s="9"/>
      <c r="D7" s="4">
        <v>2</v>
      </c>
      <c r="E7" s="2">
        <f t="shared" ref="E7:E9" si="2">SUM(F7:H7)</f>
        <v>13</v>
      </c>
      <c r="F7" s="5">
        <f t="shared" ref="F7:F9" si="3">COUNTIFS($E$13:$E$200,$D7,$C$13:$C$200,F$4)</f>
        <v>4</v>
      </c>
      <c r="G7" s="5">
        <f t="shared" si="1"/>
        <v>5</v>
      </c>
      <c r="H7" s="5">
        <f t="shared" si="1"/>
        <v>4</v>
      </c>
    </row>
    <row r="8" spans="2:10" s="10" customFormat="1" ht="20.100000000000001" customHeight="1" outlineLevel="1" x14ac:dyDescent="0.25">
      <c r="B8" s="8"/>
      <c r="C8" s="9"/>
      <c r="D8" s="4">
        <v>3</v>
      </c>
      <c r="E8" s="2">
        <f t="shared" si="2"/>
        <v>12</v>
      </c>
      <c r="F8" s="5">
        <f t="shared" si="3"/>
        <v>4</v>
      </c>
      <c r="G8" s="5">
        <f t="shared" si="1"/>
        <v>4</v>
      </c>
      <c r="H8" s="5">
        <f t="shared" si="1"/>
        <v>4</v>
      </c>
    </row>
    <row r="9" spans="2:10" s="10" customFormat="1" ht="20.100000000000001" customHeight="1" outlineLevel="1" x14ac:dyDescent="0.25">
      <c r="B9" s="8"/>
      <c r="C9" s="9"/>
      <c r="D9" s="4">
        <v>4</v>
      </c>
      <c r="E9" s="2">
        <f t="shared" si="2"/>
        <v>6</v>
      </c>
      <c r="F9" s="5">
        <f t="shared" si="3"/>
        <v>2</v>
      </c>
      <c r="G9" s="5">
        <f t="shared" si="1"/>
        <v>2</v>
      </c>
      <c r="H9" s="5">
        <f t="shared" si="1"/>
        <v>2</v>
      </c>
    </row>
    <row r="10" spans="2:10" s="10" customFormat="1" ht="6.75" customHeight="1" x14ac:dyDescent="0.25">
      <c r="B10" s="9"/>
      <c r="C10" s="9"/>
      <c r="E10" s="9"/>
    </row>
    <row r="11" spans="2:10" s="10" customFormat="1" ht="19.350000000000001" customHeight="1" x14ac:dyDescent="0.25">
      <c r="B11" s="35" t="s">
        <v>0</v>
      </c>
      <c r="C11" s="35" t="s">
        <v>1</v>
      </c>
      <c r="D11" s="35" t="s">
        <v>2</v>
      </c>
      <c r="E11" s="35" t="s">
        <v>3</v>
      </c>
      <c r="F11" s="33" t="s">
        <v>8</v>
      </c>
      <c r="G11" s="34" t="s">
        <v>9</v>
      </c>
      <c r="H11" s="34"/>
      <c r="I11" s="34"/>
      <c r="J11" s="34"/>
    </row>
    <row r="12" spans="2:10" s="10" customFormat="1" ht="19.350000000000001" customHeight="1" x14ac:dyDescent="0.25">
      <c r="B12" s="35"/>
      <c r="C12" s="35"/>
      <c r="D12" s="35"/>
      <c r="E12" s="35"/>
      <c r="F12" s="33"/>
      <c r="G12" s="12" t="s">
        <v>4</v>
      </c>
      <c r="H12" s="12" t="s">
        <v>5</v>
      </c>
      <c r="I12" s="12" t="s">
        <v>6</v>
      </c>
      <c r="J12" s="12" t="s">
        <v>7</v>
      </c>
    </row>
    <row r="13" spans="2:10" s="14" customFormat="1" ht="12" x14ac:dyDescent="0.25">
      <c r="B13" s="13" t="str">
        <f t="shared" ref="B13:J13" si="4">"("&amp;COLUMN()-COLUMN($A$13)&amp;")"</f>
        <v>(1)</v>
      </c>
      <c r="C13" s="13" t="str">
        <f t="shared" si="4"/>
        <v>(2)</v>
      </c>
      <c r="D13" s="13" t="str">
        <f t="shared" si="4"/>
        <v>(3)</v>
      </c>
      <c r="E13" s="13" t="str">
        <f t="shared" si="4"/>
        <v>(4)</v>
      </c>
      <c r="F13" s="13" t="str">
        <f t="shared" si="4"/>
        <v>(5)</v>
      </c>
      <c r="G13" s="13" t="str">
        <f t="shared" si="4"/>
        <v>(6)</v>
      </c>
      <c r="H13" s="13" t="str">
        <f t="shared" si="4"/>
        <v>(7)</v>
      </c>
      <c r="I13" s="13" t="str">
        <f t="shared" si="4"/>
        <v>(8)</v>
      </c>
      <c r="J13" s="13" t="str">
        <f t="shared" si="4"/>
        <v>(9)</v>
      </c>
    </row>
    <row r="14" spans="2:10" s="10" customFormat="1" ht="76.5" x14ac:dyDescent="0.25">
      <c r="B14" s="5">
        <f>ROW()-ROW($B$13)</f>
        <v>1</v>
      </c>
      <c r="C14" s="6">
        <v>1</v>
      </c>
      <c r="D14" s="7" t="s">
        <v>84</v>
      </c>
      <c r="E14" s="6">
        <v>1</v>
      </c>
      <c r="F14" s="15" t="s">
        <v>85</v>
      </c>
      <c r="G14" s="18" t="s">
        <v>86</v>
      </c>
      <c r="H14" s="7" t="s">
        <v>87</v>
      </c>
      <c r="I14" s="7" t="s">
        <v>88</v>
      </c>
      <c r="J14" s="7" t="s">
        <v>89</v>
      </c>
    </row>
    <row r="15" spans="2:10" s="10" customFormat="1" ht="76.5" x14ac:dyDescent="0.25">
      <c r="B15" s="5">
        <f t="shared" ref="B15:B34" si="5">ROW()-ROW($B$13)</f>
        <v>2</v>
      </c>
      <c r="C15" s="6">
        <v>1</v>
      </c>
      <c r="D15" s="7" t="s">
        <v>84</v>
      </c>
      <c r="E15" s="6">
        <v>1</v>
      </c>
      <c r="F15" s="15" t="s">
        <v>90</v>
      </c>
      <c r="G15" s="18" t="s">
        <v>91</v>
      </c>
      <c r="H15" s="7" t="s">
        <v>92</v>
      </c>
      <c r="I15" s="7" t="s">
        <v>93</v>
      </c>
      <c r="J15" s="7" t="s">
        <v>94</v>
      </c>
    </row>
    <row r="16" spans="2:10" s="10" customFormat="1" ht="63.75" x14ac:dyDescent="0.25">
      <c r="B16" s="5">
        <f t="shared" si="5"/>
        <v>3</v>
      </c>
      <c r="C16" s="6">
        <v>1</v>
      </c>
      <c r="D16" s="7" t="s">
        <v>84</v>
      </c>
      <c r="E16" s="6">
        <v>1</v>
      </c>
      <c r="F16" s="15" t="s">
        <v>100</v>
      </c>
      <c r="G16" s="18" t="s">
        <v>101</v>
      </c>
      <c r="H16" s="7" t="s">
        <v>102</v>
      </c>
      <c r="I16" s="7" t="s">
        <v>103</v>
      </c>
      <c r="J16" s="7" t="s">
        <v>104</v>
      </c>
    </row>
    <row r="17" spans="2:10" s="10" customFormat="1" ht="63.75" x14ac:dyDescent="0.25">
      <c r="B17" s="5">
        <f t="shared" si="5"/>
        <v>4</v>
      </c>
      <c r="C17" s="6">
        <v>1</v>
      </c>
      <c r="D17" s="7" t="s">
        <v>84</v>
      </c>
      <c r="E17" s="6">
        <v>1</v>
      </c>
      <c r="F17" s="15" t="s">
        <v>95</v>
      </c>
      <c r="G17" s="18" t="s">
        <v>96</v>
      </c>
      <c r="H17" s="7" t="s">
        <v>97</v>
      </c>
      <c r="I17" s="7" t="s">
        <v>98</v>
      </c>
      <c r="J17" s="7" t="s">
        <v>99</v>
      </c>
    </row>
    <row r="18" spans="2:10" s="10" customFormat="1" ht="63.75" x14ac:dyDescent="0.25">
      <c r="B18" s="5">
        <f t="shared" si="5"/>
        <v>5</v>
      </c>
      <c r="C18" s="6">
        <v>1</v>
      </c>
      <c r="D18" s="7" t="s">
        <v>84</v>
      </c>
      <c r="E18" s="6">
        <v>2</v>
      </c>
      <c r="F18" s="15" t="s">
        <v>115</v>
      </c>
      <c r="G18" s="18" t="s">
        <v>116</v>
      </c>
      <c r="H18" s="7" t="s">
        <v>117</v>
      </c>
      <c r="I18" s="7" t="s">
        <v>118</v>
      </c>
      <c r="J18" s="7" t="s">
        <v>119</v>
      </c>
    </row>
    <row r="19" spans="2:10" s="10" customFormat="1" ht="191.25" x14ac:dyDescent="0.25">
      <c r="B19" s="5">
        <f t="shared" si="5"/>
        <v>6</v>
      </c>
      <c r="C19" s="6">
        <v>1</v>
      </c>
      <c r="D19" s="7" t="s">
        <v>84</v>
      </c>
      <c r="E19" s="6">
        <v>2</v>
      </c>
      <c r="F19" s="15" t="s">
        <v>110</v>
      </c>
      <c r="G19" s="18" t="s">
        <v>111</v>
      </c>
      <c r="H19" s="7" t="s">
        <v>112</v>
      </c>
      <c r="I19" s="7" t="s">
        <v>113</v>
      </c>
      <c r="J19" s="7" t="s">
        <v>114</v>
      </c>
    </row>
    <row r="20" spans="2:10" s="10" customFormat="1" ht="76.5" x14ac:dyDescent="0.25">
      <c r="B20" s="5">
        <f t="shared" si="5"/>
        <v>7</v>
      </c>
      <c r="C20" s="6">
        <v>1</v>
      </c>
      <c r="D20" s="7" t="s">
        <v>84</v>
      </c>
      <c r="E20" s="6">
        <v>2</v>
      </c>
      <c r="F20" s="15" t="s">
        <v>105</v>
      </c>
      <c r="G20" s="16" t="s">
        <v>106</v>
      </c>
      <c r="H20" s="17" t="s">
        <v>107</v>
      </c>
      <c r="I20" s="17" t="s">
        <v>108</v>
      </c>
      <c r="J20" s="17" t="s">
        <v>109</v>
      </c>
    </row>
    <row r="21" spans="2:10" s="10" customFormat="1" ht="63.75" x14ac:dyDescent="0.25">
      <c r="B21" s="5">
        <f t="shared" si="5"/>
        <v>8</v>
      </c>
      <c r="C21" s="6">
        <v>1</v>
      </c>
      <c r="D21" s="7" t="s">
        <v>84</v>
      </c>
      <c r="E21" s="6">
        <v>2</v>
      </c>
      <c r="F21" s="15" t="s">
        <v>120</v>
      </c>
      <c r="G21" s="16" t="s">
        <v>121</v>
      </c>
      <c r="H21" s="17" t="s">
        <v>122</v>
      </c>
      <c r="I21" s="17" t="s">
        <v>123</v>
      </c>
      <c r="J21" s="17" t="s">
        <v>124</v>
      </c>
    </row>
    <row r="22" spans="2:10" s="10" customFormat="1" ht="63.75" x14ac:dyDescent="0.25">
      <c r="B22" s="5">
        <f t="shared" si="5"/>
        <v>9</v>
      </c>
      <c r="C22" s="6">
        <v>1</v>
      </c>
      <c r="D22" s="7" t="s">
        <v>84</v>
      </c>
      <c r="E22" s="6">
        <v>3</v>
      </c>
      <c r="F22" s="15" t="s">
        <v>135</v>
      </c>
      <c r="G22" s="18" t="s">
        <v>136</v>
      </c>
      <c r="H22" s="7" t="s">
        <v>137</v>
      </c>
      <c r="I22" s="7" t="s">
        <v>138</v>
      </c>
      <c r="J22" s="7" t="s">
        <v>139</v>
      </c>
    </row>
    <row r="23" spans="2:10" s="10" customFormat="1" ht="242.25" x14ac:dyDescent="0.25">
      <c r="B23" s="5">
        <f t="shared" si="5"/>
        <v>10</v>
      </c>
      <c r="C23" s="6">
        <v>1</v>
      </c>
      <c r="D23" s="7" t="s">
        <v>84</v>
      </c>
      <c r="E23" s="6">
        <v>3</v>
      </c>
      <c r="F23" s="15" t="s">
        <v>125</v>
      </c>
      <c r="G23" s="18" t="s">
        <v>126</v>
      </c>
      <c r="H23" s="7" t="s">
        <v>127</v>
      </c>
      <c r="I23" s="7" t="s">
        <v>128</v>
      </c>
      <c r="J23" s="7" t="s">
        <v>129</v>
      </c>
    </row>
    <row r="24" spans="2:10" s="10" customFormat="1" ht="191.25" x14ac:dyDescent="0.25">
      <c r="B24" s="5">
        <f t="shared" si="5"/>
        <v>11</v>
      </c>
      <c r="C24" s="6">
        <v>1</v>
      </c>
      <c r="D24" s="7" t="s">
        <v>84</v>
      </c>
      <c r="E24" s="6">
        <v>3</v>
      </c>
      <c r="F24" s="15" t="s">
        <v>130</v>
      </c>
      <c r="G24" s="18" t="s">
        <v>131</v>
      </c>
      <c r="H24" s="7" t="s">
        <v>132</v>
      </c>
      <c r="I24" s="7" t="s">
        <v>133</v>
      </c>
      <c r="J24" s="7" t="s">
        <v>134</v>
      </c>
    </row>
    <row r="25" spans="2:10" s="10" customFormat="1" ht="63.75" x14ac:dyDescent="0.25">
      <c r="B25" s="5">
        <f t="shared" si="5"/>
        <v>12</v>
      </c>
      <c r="C25" s="6">
        <v>1</v>
      </c>
      <c r="D25" s="7" t="s">
        <v>84</v>
      </c>
      <c r="E25" s="6">
        <v>3</v>
      </c>
      <c r="F25" s="15" t="s">
        <v>140</v>
      </c>
      <c r="G25" s="18" t="s">
        <v>141</v>
      </c>
      <c r="H25" s="7" t="s">
        <v>142</v>
      </c>
      <c r="I25" s="7" t="s">
        <v>143</v>
      </c>
      <c r="J25" s="7" t="s">
        <v>144</v>
      </c>
    </row>
    <row r="26" spans="2:10" s="10" customFormat="1" ht="306" x14ac:dyDescent="0.25">
      <c r="B26" s="5">
        <f t="shared" si="5"/>
        <v>13</v>
      </c>
      <c r="C26" s="6">
        <v>1</v>
      </c>
      <c r="D26" s="7" t="s">
        <v>84</v>
      </c>
      <c r="E26" s="6">
        <v>4</v>
      </c>
      <c r="F26" s="15" t="s">
        <v>150</v>
      </c>
      <c r="G26" s="18" t="s">
        <v>151</v>
      </c>
      <c r="H26" s="7" t="s">
        <v>152</v>
      </c>
      <c r="I26" s="7" t="s">
        <v>153</v>
      </c>
      <c r="J26" s="7" t="s">
        <v>154</v>
      </c>
    </row>
    <row r="27" spans="2:10" s="10" customFormat="1" ht="331.5" x14ac:dyDescent="0.25">
      <c r="B27" s="5">
        <f t="shared" si="5"/>
        <v>14</v>
      </c>
      <c r="C27" s="6">
        <v>1</v>
      </c>
      <c r="D27" s="7" t="s">
        <v>84</v>
      </c>
      <c r="E27" s="6">
        <v>4</v>
      </c>
      <c r="F27" s="15" t="s">
        <v>145</v>
      </c>
      <c r="G27" s="18" t="s">
        <v>146</v>
      </c>
      <c r="H27" s="7" t="s">
        <v>147</v>
      </c>
      <c r="I27" s="7" t="s">
        <v>148</v>
      </c>
      <c r="J27" s="7" t="s">
        <v>149</v>
      </c>
    </row>
    <row r="28" spans="2:10" s="10" customFormat="1" ht="89.25" x14ac:dyDescent="0.25">
      <c r="B28" s="5">
        <f t="shared" si="5"/>
        <v>15</v>
      </c>
      <c r="C28" s="6">
        <v>2</v>
      </c>
      <c r="D28" s="7" t="s">
        <v>155</v>
      </c>
      <c r="E28" s="6">
        <v>1</v>
      </c>
      <c r="F28" s="15" t="s">
        <v>161</v>
      </c>
      <c r="G28" s="19" t="s">
        <v>162</v>
      </c>
      <c r="H28" s="20" t="s">
        <v>163</v>
      </c>
      <c r="I28" s="20" t="s">
        <v>164</v>
      </c>
      <c r="J28" s="20" t="s">
        <v>165</v>
      </c>
    </row>
    <row r="29" spans="2:10" s="10" customFormat="1" ht="63.75" x14ac:dyDescent="0.25">
      <c r="B29" s="5">
        <f t="shared" si="5"/>
        <v>16</v>
      </c>
      <c r="C29" s="6">
        <v>2</v>
      </c>
      <c r="D29" s="7" t="s">
        <v>155</v>
      </c>
      <c r="E29" s="6">
        <v>1</v>
      </c>
      <c r="F29" s="15" t="s">
        <v>166</v>
      </c>
      <c r="G29" s="19" t="s">
        <v>167</v>
      </c>
      <c r="H29" s="20" t="s">
        <v>168</v>
      </c>
      <c r="I29" s="20" t="s">
        <v>169</v>
      </c>
      <c r="J29" s="20" t="s">
        <v>170</v>
      </c>
    </row>
    <row r="30" spans="2:10" s="10" customFormat="1" ht="63.75" x14ac:dyDescent="0.25">
      <c r="B30" s="5">
        <f t="shared" si="5"/>
        <v>17</v>
      </c>
      <c r="C30" s="6">
        <v>2</v>
      </c>
      <c r="D30" s="7" t="s">
        <v>155</v>
      </c>
      <c r="E30" s="6">
        <v>1</v>
      </c>
      <c r="F30" s="15" t="s">
        <v>171</v>
      </c>
      <c r="G30" s="19" t="s">
        <v>172</v>
      </c>
      <c r="H30" s="20" t="s">
        <v>173</v>
      </c>
      <c r="I30" s="20" t="s">
        <v>174</v>
      </c>
      <c r="J30" s="20" t="s">
        <v>175</v>
      </c>
    </row>
    <row r="31" spans="2:10" s="10" customFormat="1" ht="76.5" x14ac:dyDescent="0.25">
      <c r="B31" s="5">
        <f t="shared" si="5"/>
        <v>18</v>
      </c>
      <c r="C31" s="6">
        <v>2</v>
      </c>
      <c r="D31" s="7" t="s">
        <v>155</v>
      </c>
      <c r="E31" s="6">
        <v>1</v>
      </c>
      <c r="F31" s="15" t="s">
        <v>156</v>
      </c>
      <c r="G31" s="18" t="s">
        <v>157</v>
      </c>
      <c r="H31" s="7" t="s">
        <v>158</v>
      </c>
      <c r="I31" s="7" t="s">
        <v>159</v>
      </c>
      <c r="J31" s="7" t="s">
        <v>160</v>
      </c>
    </row>
    <row r="32" spans="2:10" s="10" customFormat="1" ht="63.75" x14ac:dyDescent="0.25">
      <c r="B32" s="5">
        <f t="shared" si="5"/>
        <v>19</v>
      </c>
      <c r="C32" s="6">
        <v>2</v>
      </c>
      <c r="D32" s="7" t="s">
        <v>155</v>
      </c>
      <c r="E32" s="6">
        <v>2</v>
      </c>
      <c r="F32" s="15" t="s">
        <v>194</v>
      </c>
      <c r="G32" s="18" t="s">
        <v>195</v>
      </c>
      <c r="H32" s="7" t="s">
        <v>196</v>
      </c>
      <c r="I32" s="7" t="s">
        <v>197</v>
      </c>
      <c r="J32" s="7" t="s">
        <v>198</v>
      </c>
    </row>
    <row r="33" spans="2:10" s="10" customFormat="1" ht="63.75" x14ac:dyDescent="0.25">
      <c r="B33" s="5">
        <f t="shared" si="5"/>
        <v>20</v>
      </c>
      <c r="C33" s="6">
        <v>2</v>
      </c>
      <c r="D33" s="7" t="s">
        <v>155</v>
      </c>
      <c r="E33" s="6">
        <v>2</v>
      </c>
      <c r="F33" s="15" t="s">
        <v>189</v>
      </c>
      <c r="G33" s="18" t="s">
        <v>190</v>
      </c>
      <c r="H33" s="7" t="s">
        <v>191</v>
      </c>
      <c r="I33" s="7" t="s">
        <v>192</v>
      </c>
      <c r="J33" s="7" t="s">
        <v>193</v>
      </c>
    </row>
    <row r="34" spans="2:10" s="10" customFormat="1" ht="89.25" x14ac:dyDescent="0.25">
      <c r="B34" s="5">
        <f t="shared" si="5"/>
        <v>21</v>
      </c>
      <c r="C34" s="6">
        <v>2</v>
      </c>
      <c r="D34" s="7" t="s">
        <v>155</v>
      </c>
      <c r="E34" s="6">
        <v>2</v>
      </c>
      <c r="F34" s="15" t="s">
        <v>179</v>
      </c>
      <c r="G34" s="18" t="s">
        <v>180</v>
      </c>
      <c r="H34" s="7" t="s">
        <v>181</v>
      </c>
      <c r="I34" s="7" t="s">
        <v>182</v>
      </c>
      <c r="J34" s="7" t="s">
        <v>183</v>
      </c>
    </row>
    <row r="35" spans="2:10" s="10" customFormat="1" ht="114.75" x14ac:dyDescent="0.25">
      <c r="B35" s="5">
        <f>ROW()-ROW($B$13)</f>
        <v>22</v>
      </c>
      <c r="C35" s="6">
        <v>2</v>
      </c>
      <c r="D35" s="7" t="s">
        <v>155</v>
      </c>
      <c r="E35" s="6">
        <v>2</v>
      </c>
      <c r="F35" s="15" t="s">
        <v>176</v>
      </c>
      <c r="G35" s="19" t="s">
        <v>177</v>
      </c>
      <c r="H35" s="20" t="s">
        <v>178</v>
      </c>
      <c r="I35" s="20"/>
      <c r="J35" s="20"/>
    </row>
    <row r="36" spans="2:10" s="10" customFormat="1" ht="76.5" x14ac:dyDescent="0.25">
      <c r="B36" s="5">
        <f t="shared" ref="B36:B55" si="6">ROW()-ROW($B$13)</f>
        <v>23</v>
      </c>
      <c r="C36" s="6">
        <v>2</v>
      </c>
      <c r="D36" s="7" t="s">
        <v>155</v>
      </c>
      <c r="E36" s="6">
        <v>2</v>
      </c>
      <c r="F36" s="15" t="s">
        <v>184</v>
      </c>
      <c r="G36" s="18" t="s">
        <v>185</v>
      </c>
      <c r="H36" s="7" t="s">
        <v>186</v>
      </c>
      <c r="I36" s="7" t="s">
        <v>187</v>
      </c>
      <c r="J36" s="7" t="s">
        <v>188</v>
      </c>
    </row>
    <row r="37" spans="2:10" s="10" customFormat="1" ht="63.75" x14ac:dyDescent="0.25">
      <c r="B37" s="5">
        <f t="shared" si="6"/>
        <v>24</v>
      </c>
      <c r="C37" s="6">
        <v>2</v>
      </c>
      <c r="D37" s="7" t="s">
        <v>155</v>
      </c>
      <c r="E37" s="6">
        <v>3</v>
      </c>
      <c r="F37" s="15" t="s">
        <v>209</v>
      </c>
      <c r="G37" s="16" t="s">
        <v>210</v>
      </c>
      <c r="H37" s="17" t="s">
        <v>211</v>
      </c>
      <c r="I37" s="17" t="s">
        <v>212</v>
      </c>
      <c r="J37" s="17" t="s">
        <v>213</v>
      </c>
    </row>
    <row r="38" spans="2:10" s="10" customFormat="1" ht="204" x14ac:dyDescent="0.25">
      <c r="B38" s="5">
        <f t="shared" si="6"/>
        <v>25</v>
      </c>
      <c r="C38" s="6">
        <v>2</v>
      </c>
      <c r="D38" s="7" t="s">
        <v>155</v>
      </c>
      <c r="E38" s="6">
        <v>3</v>
      </c>
      <c r="F38" s="15" t="s">
        <v>204</v>
      </c>
      <c r="G38" s="18" t="s">
        <v>205</v>
      </c>
      <c r="H38" s="7" t="s">
        <v>206</v>
      </c>
      <c r="I38" s="7" t="s">
        <v>207</v>
      </c>
      <c r="J38" s="7" t="s">
        <v>208</v>
      </c>
    </row>
    <row r="39" spans="2:10" s="10" customFormat="1" ht="89.25" x14ac:dyDescent="0.25">
      <c r="B39" s="5">
        <f t="shared" si="6"/>
        <v>26</v>
      </c>
      <c r="C39" s="6">
        <v>2</v>
      </c>
      <c r="D39" s="7" t="s">
        <v>155</v>
      </c>
      <c r="E39" s="6">
        <v>3</v>
      </c>
      <c r="F39" s="15" t="s">
        <v>214</v>
      </c>
      <c r="G39" s="18" t="s">
        <v>215</v>
      </c>
      <c r="H39" s="7" t="s">
        <v>216</v>
      </c>
      <c r="I39" s="7" t="s">
        <v>217</v>
      </c>
      <c r="J39" s="7" t="s">
        <v>218</v>
      </c>
    </row>
    <row r="40" spans="2:10" s="10" customFormat="1" ht="191.25" x14ac:dyDescent="0.25">
      <c r="B40" s="5">
        <f t="shared" si="6"/>
        <v>27</v>
      </c>
      <c r="C40" s="6">
        <v>2</v>
      </c>
      <c r="D40" s="7" t="s">
        <v>155</v>
      </c>
      <c r="E40" s="6">
        <v>3</v>
      </c>
      <c r="F40" s="15" t="s">
        <v>199</v>
      </c>
      <c r="G40" s="18" t="s">
        <v>200</v>
      </c>
      <c r="H40" s="7" t="s">
        <v>201</v>
      </c>
      <c r="I40" s="7" t="s">
        <v>202</v>
      </c>
      <c r="J40" s="7" t="s">
        <v>203</v>
      </c>
    </row>
    <row r="41" spans="2:10" s="10" customFormat="1" ht="242.25" x14ac:dyDescent="0.25">
      <c r="B41" s="5">
        <f t="shared" si="6"/>
        <v>28</v>
      </c>
      <c r="C41" s="6">
        <v>2</v>
      </c>
      <c r="D41" s="7" t="s">
        <v>155</v>
      </c>
      <c r="E41" s="6">
        <v>4</v>
      </c>
      <c r="F41" s="15" t="s">
        <v>224</v>
      </c>
      <c r="G41" s="16" t="s">
        <v>225</v>
      </c>
      <c r="H41" s="17" t="s">
        <v>226</v>
      </c>
      <c r="I41" s="17" t="s">
        <v>227</v>
      </c>
      <c r="J41" s="17" t="s">
        <v>228</v>
      </c>
    </row>
    <row r="42" spans="2:10" s="10" customFormat="1" ht="255" x14ac:dyDescent="0.25">
      <c r="B42" s="5">
        <f t="shared" si="6"/>
        <v>29</v>
      </c>
      <c r="C42" s="6">
        <v>2</v>
      </c>
      <c r="D42" s="7" t="s">
        <v>155</v>
      </c>
      <c r="E42" s="6">
        <v>4</v>
      </c>
      <c r="F42" s="15" t="s">
        <v>219</v>
      </c>
      <c r="G42" s="18" t="s">
        <v>220</v>
      </c>
      <c r="H42" s="7" t="s">
        <v>221</v>
      </c>
      <c r="I42" s="7" t="s">
        <v>222</v>
      </c>
      <c r="J42" s="7" t="s">
        <v>223</v>
      </c>
    </row>
    <row r="43" spans="2:10" s="10" customFormat="1" ht="76.5" x14ac:dyDescent="0.25">
      <c r="B43" s="5">
        <f t="shared" si="6"/>
        <v>30</v>
      </c>
      <c r="C43" s="6">
        <v>3</v>
      </c>
      <c r="D43" s="7" t="s">
        <v>13</v>
      </c>
      <c r="E43" s="6">
        <v>1</v>
      </c>
      <c r="F43" s="15" t="s">
        <v>19</v>
      </c>
      <c r="G43" s="18" t="s">
        <v>20</v>
      </c>
      <c r="H43" s="7" t="s">
        <v>21</v>
      </c>
      <c r="I43" s="7" t="s">
        <v>22</v>
      </c>
      <c r="J43" s="7" t="s">
        <v>23</v>
      </c>
    </row>
    <row r="44" spans="2:10" s="10" customFormat="1" ht="76.5" x14ac:dyDescent="0.25">
      <c r="B44" s="5">
        <f t="shared" si="6"/>
        <v>31</v>
      </c>
      <c r="C44" s="6">
        <v>3</v>
      </c>
      <c r="D44" s="7" t="s">
        <v>13</v>
      </c>
      <c r="E44" s="6">
        <v>1</v>
      </c>
      <c r="F44" s="15" t="s">
        <v>29</v>
      </c>
      <c r="G44" s="18" t="s">
        <v>30</v>
      </c>
      <c r="H44" s="7" t="s">
        <v>31</v>
      </c>
      <c r="I44" s="7" t="s">
        <v>32</v>
      </c>
      <c r="J44" s="7" t="s">
        <v>33</v>
      </c>
    </row>
    <row r="45" spans="2:10" s="10" customFormat="1" ht="76.5" x14ac:dyDescent="0.25">
      <c r="B45" s="5">
        <f t="shared" si="6"/>
        <v>32</v>
      </c>
      <c r="C45" s="6">
        <v>3</v>
      </c>
      <c r="D45" s="7" t="s">
        <v>13</v>
      </c>
      <c r="E45" s="6">
        <v>1</v>
      </c>
      <c r="F45" s="15" t="s">
        <v>24</v>
      </c>
      <c r="G45" s="18" t="s">
        <v>25</v>
      </c>
      <c r="H45" s="7" t="s">
        <v>26</v>
      </c>
      <c r="I45" s="7" t="s">
        <v>27</v>
      </c>
      <c r="J45" s="7" t="s">
        <v>28</v>
      </c>
    </row>
    <row r="46" spans="2:10" s="10" customFormat="1" ht="102" x14ac:dyDescent="0.25">
      <c r="B46" s="5">
        <f t="shared" si="6"/>
        <v>33</v>
      </c>
      <c r="C46" s="6">
        <v>3</v>
      </c>
      <c r="D46" s="7" t="s">
        <v>13</v>
      </c>
      <c r="E46" s="6">
        <v>1</v>
      </c>
      <c r="F46" s="15" t="s">
        <v>14</v>
      </c>
      <c r="G46" s="16" t="s">
        <v>15</v>
      </c>
      <c r="H46" s="17" t="s">
        <v>16</v>
      </c>
      <c r="I46" s="17" t="s">
        <v>17</v>
      </c>
      <c r="J46" s="17" t="s">
        <v>18</v>
      </c>
    </row>
    <row r="47" spans="2:10" s="10" customFormat="1" ht="76.5" x14ac:dyDescent="0.25">
      <c r="B47" s="5">
        <f t="shared" si="6"/>
        <v>34</v>
      </c>
      <c r="C47" s="6">
        <v>3</v>
      </c>
      <c r="D47" s="7" t="s">
        <v>13</v>
      </c>
      <c r="E47" s="6">
        <v>2</v>
      </c>
      <c r="F47" s="15" t="s">
        <v>39</v>
      </c>
      <c r="G47" s="18" t="s">
        <v>40</v>
      </c>
      <c r="H47" s="7" t="s">
        <v>41</v>
      </c>
      <c r="I47" s="7" t="s">
        <v>42</v>
      </c>
      <c r="J47" s="7" t="s">
        <v>43</v>
      </c>
    </row>
    <row r="48" spans="2:10" s="10" customFormat="1" ht="76.5" x14ac:dyDescent="0.25">
      <c r="B48" s="5">
        <f t="shared" si="6"/>
        <v>35</v>
      </c>
      <c r="C48" s="6">
        <v>3</v>
      </c>
      <c r="D48" s="7" t="s">
        <v>13</v>
      </c>
      <c r="E48" s="6">
        <v>2</v>
      </c>
      <c r="F48" s="15" t="s">
        <v>34</v>
      </c>
      <c r="G48" s="18" t="s">
        <v>35</v>
      </c>
      <c r="H48" s="7" t="s">
        <v>36</v>
      </c>
      <c r="I48" s="7" t="s">
        <v>37</v>
      </c>
      <c r="J48" s="7" t="s">
        <v>38</v>
      </c>
    </row>
    <row r="49" spans="2:10" s="10" customFormat="1" ht="76.5" x14ac:dyDescent="0.25">
      <c r="B49" s="5">
        <f t="shared" si="6"/>
        <v>36</v>
      </c>
      <c r="C49" s="6">
        <v>3</v>
      </c>
      <c r="D49" s="7" t="s">
        <v>13</v>
      </c>
      <c r="E49" s="6">
        <v>2</v>
      </c>
      <c r="F49" s="15" t="s">
        <v>49</v>
      </c>
      <c r="G49" s="18" t="s">
        <v>50</v>
      </c>
      <c r="H49" s="7" t="s">
        <v>51</v>
      </c>
      <c r="I49" s="7" t="s">
        <v>52</v>
      </c>
      <c r="J49" s="7" t="s">
        <v>53</v>
      </c>
    </row>
    <row r="50" spans="2:10" s="10" customFormat="1" ht="76.5" x14ac:dyDescent="0.25">
      <c r="B50" s="5">
        <f t="shared" si="6"/>
        <v>37</v>
      </c>
      <c r="C50" s="6">
        <v>3</v>
      </c>
      <c r="D50" s="7" t="s">
        <v>13</v>
      </c>
      <c r="E50" s="6">
        <v>2</v>
      </c>
      <c r="F50" s="15" t="s">
        <v>44</v>
      </c>
      <c r="G50" s="18" t="s">
        <v>45</v>
      </c>
      <c r="H50" s="7" t="s">
        <v>46</v>
      </c>
      <c r="I50" s="7" t="s">
        <v>47</v>
      </c>
      <c r="J50" s="7" t="s">
        <v>48</v>
      </c>
    </row>
    <row r="51" spans="2:10" s="10" customFormat="1" ht="178.5" x14ac:dyDescent="0.25">
      <c r="B51" s="5">
        <f t="shared" si="6"/>
        <v>38</v>
      </c>
      <c r="C51" s="6">
        <v>3</v>
      </c>
      <c r="D51" s="7" t="s">
        <v>13</v>
      </c>
      <c r="E51" s="6">
        <v>3</v>
      </c>
      <c r="F51" s="15" t="s">
        <v>59</v>
      </c>
      <c r="G51" s="19" t="s">
        <v>60</v>
      </c>
      <c r="H51" s="20" t="s">
        <v>61</v>
      </c>
      <c r="I51" s="20" t="s">
        <v>62</v>
      </c>
      <c r="J51" s="20" t="s">
        <v>63</v>
      </c>
    </row>
    <row r="52" spans="2:10" s="10" customFormat="1" ht="76.5" x14ac:dyDescent="0.25">
      <c r="B52" s="5">
        <f t="shared" si="6"/>
        <v>39</v>
      </c>
      <c r="C52" s="6">
        <v>3</v>
      </c>
      <c r="D52" s="7" t="s">
        <v>13</v>
      </c>
      <c r="E52" s="6">
        <v>3</v>
      </c>
      <c r="F52" s="15" t="s">
        <v>64</v>
      </c>
      <c r="G52" s="19" t="s">
        <v>65</v>
      </c>
      <c r="H52" s="20" t="s">
        <v>66</v>
      </c>
      <c r="I52" s="20" t="s">
        <v>67</v>
      </c>
      <c r="J52" s="20" t="s">
        <v>68</v>
      </c>
    </row>
    <row r="53" spans="2:10" s="10" customFormat="1" ht="102" x14ac:dyDescent="0.25">
      <c r="B53" s="5">
        <f t="shared" si="6"/>
        <v>40</v>
      </c>
      <c r="C53" s="6">
        <v>3</v>
      </c>
      <c r="D53" s="7" t="s">
        <v>13</v>
      </c>
      <c r="E53" s="6">
        <v>3</v>
      </c>
      <c r="F53" s="15" t="s">
        <v>69</v>
      </c>
      <c r="G53" s="19" t="s">
        <v>70</v>
      </c>
      <c r="H53" s="20" t="s">
        <v>71</v>
      </c>
      <c r="I53" s="20" t="s">
        <v>72</v>
      </c>
      <c r="J53" s="20" t="s">
        <v>73</v>
      </c>
    </row>
    <row r="54" spans="2:10" s="10" customFormat="1" ht="178.5" x14ac:dyDescent="0.25">
      <c r="B54" s="5">
        <f t="shared" si="6"/>
        <v>41</v>
      </c>
      <c r="C54" s="6">
        <v>3</v>
      </c>
      <c r="D54" s="7" t="s">
        <v>13</v>
      </c>
      <c r="E54" s="6">
        <v>3</v>
      </c>
      <c r="F54" s="15" t="s">
        <v>54</v>
      </c>
      <c r="G54" s="19" t="s">
        <v>55</v>
      </c>
      <c r="H54" s="20" t="s">
        <v>56</v>
      </c>
      <c r="I54" s="20" t="s">
        <v>57</v>
      </c>
      <c r="J54" s="20" t="s">
        <v>58</v>
      </c>
    </row>
    <row r="55" spans="2:10" s="10" customFormat="1" ht="293.25" x14ac:dyDescent="0.25">
      <c r="B55" s="5">
        <f t="shared" si="6"/>
        <v>42</v>
      </c>
      <c r="C55" s="6">
        <v>3</v>
      </c>
      <c r="D55" s="7" t="s">
        <v>13</v>
      </c>
      <c r="E55" s="6">
        <v>4</v>
      </c>
      <c r="F55" s="15" t="s">
        <v>79</v>
      </c>
      <c r="G55" s="18" t="s">
        <v>80</v>
      </c>
      <c r="H55" s="7" t="s">
        <v>81</v>
      </c>
      <c r="I55" s="7" t="s">
        <v>82</v>
      </c>
      <c r="J55" s="7" t="s">
        <v>83</v>
      </c>
    </row>
    <row r="56" spans="2:10" s="10" customFormat="1" ht="280.5" x14ac:dyDescent="0.25">
      <c r="B56" s="21">
        <f>ROW()-ROW($B$13)</f>
        <v>43</v>
      </c>
      <c r="C56" s="22">
        <v>3</v>
      </c>
      <c r="D56" s="23" t="s">
        <v>13</v>
      </c>
      <c r="E56" s="22">
        <v>4</v>
      </c>
      <c r="F56" s="24" t="s">
        <v>74</v>
      </c>
      <c r="G56" s="32" t="s">
        <v>75</v>
      </c>
      <c r="H56" s="23" t="s">
        <v>76</v>
      </c>
      <c r="I56" s="23" t="s">
        <v>77</v>
      </c>
      <c r="J56" s="23" t="s">
        <v>78</v>
      </c>
    </row>
    <row r="57" spans="2:10" x14ac:dyDescent="0.25">
      <c r="B57" s="25"/>
      <c r="C57" s="26"/>
      <c r="D57" s="27"/>
      <c r="E57" s="26"/>
      <c r="F57" s="27"/>
      <c r="G57" s="27"/>
      <c r="H57" s="27"/>
      <c r="I57" s="27"/>
      <c r="J57" s="27"/>
    </row>
    <row r="58" spans="2:10" x14ac:dyDescent="0.25">
      <c r="B58" s="25"/>
      <c r="C58" s="26"/>
      <c r="D58" s="27"/>
      <c r="E58" s="26"/>
      <c r="F58" s="27"/>
      <c r="G58" s="27"/>
      <c r="H58" s="27"/>
      <c r="I58" s="27"/>
      <c r="J58" s="27"/>
    </row>
    <row r="59" spans="2:10" x14ac:dyDescent="0.25">
      <c r="B59" s="25"/>
      <c r="C59" s="26"/>
      <c r="D59" s="27"/>
      <c r="E59" s="26"/>
      <c r="F59" s="27"/>
      <c r="G59" s="27"/>
      <c r="H59" s="27"/>
      <c r="I59" s="27"/>
      <c r="J59" s="27"/>
    </row>
    <row r="60" spans="2:10" x14ac:dyDescent="0.25">
      <c r="B60" s="25"/>
      <c r="C60" s="26"/>
      <c r="D60" s="27"/>
      <c r="E60" s="26"/>
      <c r="F60" s="27"/>
      <c r="G60" s="27"/>
      <c r="H60" s="27"/>
      <c r="I60" s="27"/>
      <c r="J60" s="27"/>
    </row>
    <row r="61" spans="2:10" x14ac:dyDescent="0.25">
      <c r="B61" s="25"/>
      <c r="C61" s="26"/>
      <c r="D61" s="27"/>
      <c r="E61" s="26"/>
      <c r="F61" s="27"/>
      <c r="G61" s="27"/>
      <c r="H61" s="27"/>
      <c r="I61" s="27"/>
      <c r="J61" s="27"/>
    </row>
    <row r="62" spans="2:10" x14ac:dyDescent="0.25">
      <c r="B62" s="25"/>
      <c r="C62" s="26"/>
      <c r="D62" s="27"/>
      <c r="E62" s="26"/>
      <c r="F62" s="27"/>
      <c r="G62" s="27"/>
      <c r="H62" s="27"/>
      <c r="I62" s="27"/>
      <c r="J62" s="27"/>
    </row>
    <row r="63" spans="2:10" x14ac:dyDescent="0.25">
      <c r="B63" s="25"/>
      <c r="C63" s="26"/>
      <c r="D63" s="27"/>
      <c r="E63" s="26"/>
      <c r="F63" s="27"/>
      <c r="G63" s="27"/>
      <c r="H63" s="27"/>
      <c r="I63" s="27"/>
      <c r="J63" s="27"/>
    </row>
    <row r="64" spans="2:10" x14ac:dyDescent="0.25">
      <c r="B64" s="25"/>
      <c r="C64" s="26"/>
      <c r="D64" s="27"/>
      <c r="E64" s="26"/>
      <c r="F64" s="27"/>
      <c r="G64" s="29"/>
      <c r="H64" s="29"/>
      <c r="I64" s="29"/>
      <c r="J64" s="29"/>
    </row>
    <row r="65" spans="2:10" x14ac:dyDescent="0.25">
      <c r="B65" s="25"/>
      <c r="C65" s="26"/>
      <c r="D65" s="27"/>
      <c r="E65" s="26"/>
      <c r="F65" s="27"/>
      <c r="G65" s="29"/>
      <c r="H65" s="29"/>
      <c r="I65" s="29"/>
      <c r="J65" s="29"/>
    </row>
    <row r="66" spans="2:10" x14ac:dyDescent="0.25">
      <c r="B66" s="25"/>
      <c r="C66" s="26"/>
      <c r="D66" s="27"/>
      <c r="E66" s="26"/>
      <c r="F66" s="27"/>
      <c r="G66" s="29"/>
      <c r="H66" s="29"/>
      <c r="I66" s="29"/>
      <c r="J66" s="29"/>
    </row>
    <row r="67" spans="2:10" x14ac:dyDescent="0.25">
      <c r="B67" s="25"/>
      <c r="C67" s="26"/>
      <c r="D67" s="27"/>
      <c r="E67" s="26"/>
      <c r="F67" s="27"/>
      <c r="G67" s="29"/>
      <c r="H67" s="29"/>
      <c r="I67" s="29"/>
      <c r="J67" s="29"/>
    </row>
    <row r="68" spans="2:10" x14ac:dyDescent="0.25">
      <c r="B68" s="25"/>
      <c r="C68" s="26"/>
      <c r="D68" s="27"/>
      <c r="E68" s="26"/>
      <c r="F68" s="27"/>
      <c r="G68" s="27"/>
      <c r="H68" s="27"/>
      <c r="I68" s="27"/>
      <c r="J68" s="27"/>
    </row>
    <row r="69" spans="2:10" x14ac:dyDescent="0.25">
      <c r="B69" s="25"/>
      <c r="C69" s="26"/>
      <c r="D69" s="27"/>
      <c r="E69" s="26"/>
      <c r="F69" s="27"/>
      <c r="G69" s="27"/>
      <c r="H69" s="27"/>
      <c r="I69" s="27"/>
      <c r="J69" s="27"/>
    </row>
    <row r="70" spans="2:10" x14ac:dyDescent="0.25">
      <c r="B70" s="25"/>
      <c r="C70" s="26"/>
      <c r="D70" s="27"/>
      <c r="E70" s="26"/>
      <c r="F70" s="27"/>
      <c r="G70" s="27"/>
      <c r="H70" s="27"/>
      <c r="I70" s="27"/>
      <c r="J70" s="27"/>
    </row>
    <row r="71" spans="2:10" x14ac:dyDescent="0.25">
      <c r="B71" s="25"/>
      <c r="C71" s="26"/>
      <c r="D71" s="27"/>
      <c r="E71" s="26"/>
      <c r="F71" s="27"/>
      <c r="G71" s="27"/>
      <c r="H71" s="27"/>
      <c r="I71" s="27"/>
      <c r="J71" s="27"/>
    </row>
    <row r="72" spans="2:10" x14ac:dyDescent="0.25">
      <c r="B72" s="25"/>
      <c r="C72" s="26"/>
      <c r="D72" s="27"/>
      <c r="E72" s="26"/>
      <c r="F72" s="27"/>
      <c r="G72" s="27"/>
      <c r="H72" s="27"/>
      <c r="I72" s="27"/>
      <c r="J72" s="27"/>
    </row>
    <row r="73" spans="2:10" x14ac:dyDescent="0.25">
      <c r="B73" s="25"/>
      <c r="C73" s="26"/>
      <c r="D73" s="27"/>
      <c r="E73" s="26"/>
      <c r="F73" s="27"/>
      <c r="G73" s="27"/>
      <c r="H73" s="27"/>
      <c r="I73" s="27"/>
      <c r="J73" s="27"/>
    </row>
    <row r="74" spans="2:10" x14ac:dyDescent="0.25">
      <c r="B74" s="25"/>
      <c r="C74" s="26"/>
      <c r="D74" s="27"/>
      <c r="E74" s="26"/>
      <c r="F74" s="27"/>
      <c r="G74" s="30"/>
      <c r="H74" s="30"/>
      <c r="I74" s="30"/>
      <c r="J74" s="30"/>
    </row>
    <row r="75" spans="2:10" x14ac:dyDescent="0.25">
      <c r="B75" s="25"/>
      <c r="C75" s="26"/>
      <c r="D75" s="27"/>
      <c r="E75" s="26"/>
      <c r="F75" s="27"/>
      <c r="G75" s="27"/>
      <c r="H75" s="27"/>
      <c r="I75" s="27"/>
      <c r="J75" s="27"/>
    </row>
    <row r="76" spans="2:10" x14ac:dyDescent="0.25">
      <c r="B76" s="25"/>
      <c r="C76" s="26"/>
      <c r="D76" s="27"/>
      <c r="E76" s="26"/>
      <c r="F76" s="27"/>
      <c r="G76" s="27"/>
      <c r="H76" s="27"/>
      <c r="I76" s="27"/>
      <c r="J76" s="27"/>
    </row>
    <row r="77" spans="2:10" x14ac:dyDescent="0.25">
      <c r="B77" s="25"/>
      <c r="C77" s="26"/>
      <c r="D77" s="27"/>
      <c r="E77" s="26"/>
      <c r="F77" s="27"/>
      <c r="G77" s="30"/>
      <c r="H77" s="30"/>
      <c r="I77" s="30"/>
      <c r="J77" s="30"/>
    </row>
    <row r="78" spans="2:10" x14ac:dyDescent="0.25">
      <c r="B78" s="25"/>
      <c r="C78" s="26"/>
      <c r="D78" s="27"/>
      <c r="E78" s="26"/>
      <c r="F78" s="27"/>
      <c r="G78" s="27"/>
      <c r="H78" s="27"/>
      <c r="I78" s="27"/>
      <c r="J78" s="27"/>
    </row>
    <row r="79" spans="2:10" x14ac:dyDescent="0.25">
      <c r="B79" s="25"/>
      <c r="C79" s="26"/>
      <c r="D79" s="27"/>
      <c r="E79" s="26"/>
      <c r="F79" s="27"/>
      <c r="G79" s="27"/>
      <c r="H79" s="27"/>
      <c r="I79" s="27"/>
      <c r="J79" s="27"/>
    </row>
    <row r="80" spans="2:10" x14ac:dyDescent="0.25">
      <c r="B80" s="25"/>
      <c r="C80" s="26"/>
      <c r="D80" s="27"/>
      <c r="E80" s="26"/>
      <c r="F80" s="27"/>
      <c r="G80" s="27"/>
      <c r="H80" s="27"/>
      <c r="I80" s="27"/>
      <c r="J80" s="27"/>
    </row>
    <row r="81" spans="2:10" x14ac:dyDescent="0.25">
      <c r="B81" s="25"/>
      <c r="C81" s="26"/>
      <c r="D81" s="27"/>
      <c r="E81" s="26"/>
      <c r="F81" s="27"/>
      <c r="G81" s="27"/>
      <c r="H81" s="27"/>
      <c r="I81" s="27"/>
      <c r="J81" s="27"/>
    </row>
    <row r="82" spans="2:10" x14ac:dyDescent="0.25">
      <c r="B82" s="25"/>
      <c r="C82" s="26"/>
      <c r="D82" s="27"/>
      <c r="E82" s="26"/>
      <c r="F82" s="27"/>
      <c r="G82" s="27"/>
      <c r="H82" s="27"/>
      <c r="I82" s="27"/>
      <c r="J82" s="27"/>
    </row>
    <row r="83" spans="2:10" x14ac:dyDescent="0.25">
      <c r="B83" s="25"/>
      <c r="C83" s="26"/>
      <c r="D83" s="27"/>
      <c r="E83" s="26"/>
      <c r="F83" s="27"/>
      <c r="G83" s="27"/>
      <c r="H83" s="27"/>
      <c r="I83" s="27"/>
      <c r="J83" s="27"/>
    </row>
    <row r="84" spans="2:10" x14ac:dyDescent="0.25">
      <c r="B84" s="25"/>
      <c r="C84" s="26"/>
      <c r="D84" s="27"/>
      <c r="E84" s="26"/>
      <c r="F84" s="27"/>
      <c r="G84" s="27"/>
      <c r="H84" s="27"/>
      <c r="I84" s="27"/>
      <c r="J84" s="27"/>
    </row>
    <row r="85" spans="2:10" x14ac:dyDescent="0.25">
      <c r="B85" s="25"/>
      <c r="C85" s="26"/>
      <c r="D85" s="27"/>
      <c r="E85" s="26"/>
      <c r="F85" s="27"/>
      <c r="G85" s="29"/>
      <c r="H85" s="29"/>
      <c r="I85" s="29"/>
      <c r="J85" s="29"/>
    </row>
    <row r="86" spans="2:10" x14ac:dyDescent="0.25">
      <c r="B86" s="25"/>
      <c r="C86" s="26"/>
      <c r="D86" s="27"/>
      <c r="E86" s="26"/>
      <c r="F86" s="27"/>
      <c r="G86" s="29"/>
      <c r="H86" s="29"/>
      <c r="I86" s="29"/>
      <c r="J86" s="29"/>
    </row>
    <row r="87" spans="2:10" x14ac:dyDescent="0.25">
      <c r="B87" s="25"/>
      <c r="C87" s="26"/>
      <c r="D87" s="27"/>
      <c r="E87" s="26"/>
      <c r="F87" s="27"/>
      <c r="G87" s="29"/>
      <c r="H87" s="29"/>
      <c r="I87" s="29"/>
      <c r="J87" s="29"/>
    </row>
    <row r="88" spans="2:10" x14ac:dyDescent="0.25">
      <c r="B88" s="25"/>
      <c r="C88" s="26"/>
      <c r="D88" s="27"/>
      <c r="E88" s="26"/>
      <c r="F88" s="27"/>
      <c r="G88" s="29"/>
      <c r="H88" s="29"/>
      <c r="I88" s="29"/>
      <c r="J88" s="29"/>
    </row>
    <row r="89" spans="2:10" x14ac:dyDescent="0.25">
      <c r="B89" s="25"/>
      <c r="C89" s="26"/>
      <c r="D89" s="27"/>
      <c r="E89" s="26"/>
      <c r="F89" s="27"/>
      <c r="G89" s="27"/>
      <c r="H89" s="27"/>
      <c r="I89" s="27"/>
      <c r="J89" s="27"/>
    </row>
    <row r="90" spans="2:10" x14ac:dyDescent="0.25">
      <c r="B90" s="25"/>
      <c r="C90" s="26"/>
      <c r="D90" s="27"/>
      <c r="E90" s="26"/>
      <c r="F90" s="27"/>
      <c r="G90" s="27"/>
      <c r="H90" s="27"/>
      <c r="I90" s="27"/>
      <c r="J90" s="27"/>
    </row>
    <row r="91" spans="2:10" x14ac:dyDescent="0.25">
      <c r="B91" s="25"/>
      <c r="C91" s="26"/>
      <c r="D91" s="27"/>
      <c r="E91" s="26"/>
      <c r="F91" s="27"/>
      <c r="G91" s="27"/>
      <c r="H91" s="27"/>
      <c r="I91" s="27"/>
      <c r="J91" s="27"/>
    </row>
    <row r="92" spans="2:10" x14ac:dyDescent="0.25">
      <c r="B92" s="25"/>
      <c r="C92" s="26"/>
      <c r="D92" s="27"/>
      <c r="E92" s="26"/>
      <c r="F92" s="27"/>
      <c r="G92" s="27"/>
      <c r="H92" s="27"/>
      <c r="I92" s="27"/>
      <c r="J92" s="27"/>
    </row>
    <row r="93" spans="2:10" x14ac:dyDescent="0.25">
      <c r="B93" s="25"/>
      <c r="C93" s="26"/>
      <c r="D93" s="27"/>
      <c r="E93" s="26"/>
      <c r="F93" s="27"/>
      <c r="G93" s="27"/>
      <c r="H93" s="27"/>
      <c r="I93" s="27"/>
      <c r="J93" s="27"/>
    </row>
    <row r="94" spans="2:10" x14ac:dyDescent="0.25">
      <c r="B94" s="25"/>
      <c r="C94" s="26"/>
      <c r="D94" s="27"/>
      <c r="E94" s="26"/>
      <c r="F94" s="27"/>
      <c r="G94" s="27"/>
      <c r="H94" s="27"/>
      <c r="I94" s="27"/>
      <c r="J94" s="27"/>
    </row>
    <row r="95" spans="2:10" x14ac:dyDescent="0.25">
      <c r="B95" s="25"/>
      <c r="C95" s="26"/>
      <c r="D95" s="27"/>
      <c r="E95" s="26"/>
      <c r="F95" s="27"/>
      <c r="G95" s="30"/>
      <c r="H95" s="30"/>
      <c r="I95" s="30"/>
      <c r="J95" s="30"/>
    </row>
    <row r="96" spans="2:10" x14ac:dyDescent="0.25">
      <c r="B96" s="25"/>
      <c r="C96" s="26"/>
      <c r="D96" s="27"/>
      <c r="E96" s="26"/>
      <c r="F96" s="27"/>
      <c r="G96" s="27"/>
      <c r="H96" s="27"/>
      <c r="I96" s="27"/>
      <c r="J96" s="27"/>
    </row>
    <row r="97" spans="2:10" x14ac:dyDescent="0.25">
      <c r="B97" s="25"/>
      <c r="C97" s="26"/>
      <c r="D97" s="27"/>
      <c r="E97" s="26"/>
      <c r="F97" s="27"/>
      <c r="G97" s="27"/>
      <c r="H97" s="27"/>
      <c r="I97" s="27"/>
      <c r="J97" s="27"/>
    </row>
    <row r="98" spans="2:10" x14ac:dyDescent="0.25">
      <c r="B98" s="25"/>
      <c r="C98" s="26"/>
      <c r="D98" s="27"/>
      <c r="E98" s="26"/>
      <c r="F98" s="27"/>
      <c r="G98" s="29"/>
      <c r="H98" s="29"/>
      <c r="I98" s="29"/>
      <c r="J98" s="29"/>
    </row>
    <row r="99" spans="2:10" x14ac:dyDescent="0.25">
      <c r="B99" s="25"/>
      <c r="C99" s="26"/>
      <c r="D99" s="27"/>
      <c r="E99" s="26"/>
      <c r="F99" s="27"/>
      <c r="G99" s="29"/>
      <c r="H99" s="29"/>
      <c r="I99" s="29"/>
      <c r="J99" s="29"/>
    </row>
    <row r="100" spans="2:10" x14ac:dyDescent="0.25">
      <c r="B100" s="25"/>
      <c r="C100" s="26"/>
      <c r="D100" s="27"/>
      <c r="E100" s="26"/>
      <c r="F100" s="27"/>
      <c r="G100" s="29"/>
      <c r="H100" s="29"/>
      <c r="I100" s="29"/>
      <c r="J100" s="29"/>
    </row>
    <row r="101" spans="2:10" x14ac:dyDescent="0.25">
      <c r="B101" s="25"/>
      <c r="C101" s="26"/>
      <c r="D101" s="27"/>
      <c r="E101" s="26"/>
      <c r="F101" s="27"/>
      <c r="G101" s="27"/>
      <c r="H101" s="27"/>
      <c r="I101" s="27"/>
      <c r="J101" s="27"/>
    </row>
    <row r="102" spans="2:10" x14ac:dyDescent="0.25">
      <c r="B102" s="25"/>
      <c r="C102" s="26"/>
      <c r="D102" s="27"/>
      <c r="E102" s="26"/>
      <c r="F102" s="27"/>
      <c r="G102" s="27"/>
      <c r="H102" s="27"/>
      <c r="I102" s="27"/>
      <c r="J102" s="27"/>
    </row>
    <row r="103" spans="2:10" x14ac:dyDescent="0.25">
      <c r="B103" s="25"/>
      <c r="C103" s="26"/>
      <c r="D103" s="27"/>
      <c r="E103" s="26"/>
      <c r="F103" s="27"/>
      <c r="G103" s="27"/>
      <c r="H103" s="27"/>
      <c r="I103" s="27"/>
      <c r="J103" s="27"/>
    </row>
    <row r="104" spans="2:10" x14ac:dyDescent="0.25">
      <c r="B104" s="25"/>
      <c r="C104" s="26"/>
      <c r="D104" s="27"/>
      <c r="E104" s="26"/>
      <c r="F104" s="27"/>
      <c r="G104" s="27"/>
      <c r="H104" s="27"/>
      <c r="I104" s="27"/>
      <c r="J104" s="27"/>
    </row>
    <row r="105" spans="2:10" x14ac:dyDescent="0.25">
      <c r="B105" s="25"/>
      <c r="C105" s="26"/>
      <c r="D105" s="27"/>
      <c r="E105" s="26"/>
      <c r="F105" s="27"/>
      <c r="G105" s="27"/>
      <c r="H105" s="27"/>
      <c r="I105" s="27"/>
      <c r="J105" s="27"/>
    </row>
    <row r="106" spans="2:10" x14ac:dyDescent="0.25">
      <c r="B106" s="25"/>
      <c r="C106" s="26"/>
      <c r="D106" s="27"/>
      <c r="E106" s="26"/>
      <c r="F106" s="27"/>
      <c r="G106" s="27"/>
      <c r="H106" s="27"/>
      <c r="I106" s="27"/>
      <c r="J106" s="27"/>
    </row>
    <row r="107" spans="2:10" x14ac:dyDescent="0.25">
      <c r="B107" s="25"/>
      <c r="C107" s="26"/>
      <c r="D107" s="27"/>
      <c r="E107" s="26"/>
      <c r="F107" s="27"/>
      <c r="G107" s="30"/>
      <c r="H107" s="30"/>
      <c r="I107" s="30"/>
      <c r="J107" s="30"/>
    </row>
    <row r="108" spans="2:10" x14ac:dyDescent="0.25">
      <c r="B108" s="25"/>
      <c r="C108" s="26"/>
      <c r="D108" s="27"/>
      <c r="E108" s="26"/>
      <c r="F108" s="27"/>
      <c r="G108" s="27"/>
      <c r="H108" s="27"/>
      <c r="I108" s="27"/>
      <c r="J108" s="27"/>
    </row>
    <row r="109" spans="2:10" x14ac:dyDescent="0.25">
      <c r="B109" s="25"/>
      <c r="C109" s="26"/>
      <c r="D109" s="27"/>
      <c r="E109" s="26"/>
      <c r="F109" s="27"/>
      <c r="G109" s="27"/>
      <c r="H109" s="27"/>
      <c r="I109" s="27"/>
      <c r="J109" s="27"/>
    </row>
    <row r="110" spans="2:10" x14ac:dyDescent="0.25">
      <c r="B110" s="25"/>
      <c r="C110" s="26"/>
      <c r="D110" s="27"/>
      <c r="E110" s="26"/>
      <c r="F110" s="27"/>
      <c r="G110" s="27"/>
      <c r="H110" s="27"/>
      <c r="I110" s="27"/>
      <c r="J110" s="27"/>
    </row>
    <row r="111" spans="2:10" x14ac:dyDescent="0.25">
      <c r="B111" s="25"/>
      <c r="C111" s="26"/>
      <c r="D111" s="27"/>
      <c r="E111" s="26"/>
      <c r="F111" s="27"/>
      <c r="G111" s="30"/>
      <c r="H111" s="30"/>
      <c r="I111" s="30"/>
      <c r="J111" s="30"/>
    </row>
    <row r="112" spans="2:10" x14ac:dyDescent="0.25">
      <c r="B112" s="25"/>
      <c r="C112" s="26"/>
      <c r="D112" s="27"/>
      <c r="E112" s="26"/>
      <c r="F112" s="27"/>
      <c r="G112" s="27"/>
      <c r="H112" s="27"/>
      <c r="I112" s="27"/>
      <c r="J112" s="27"/>
    </row>
    <row r="113" spans="2:10" x14ac:dyDescent="0.25">
      <c r="B113" s="25"/>
      <c r="C113" s="26"/>
      <c r="D113" s="27"/>
      <c r="E113" s="26"/>
      <c r="F113" s="27"/>
      <c r="G113" s="27"/>
      <c r="H113" s="27"/>
      <c r="I113" s="27"/>
      <c r="J113" s="27"/>
    </row>
  </sheetData>
  <autoFilter ref="B13:M137" xr:uid="{B005C0B0-9D89-4729-AC6E-7F1010ED0730}"/>
  <sortState xmlns:xlrd2="http://schemas.microsoft.com/office/spreadsheetml/2017/richdata2" ref="C14:J56">
    <sortCondition ref="C14:C56"/>
    <sortCondition ref="E14:E56"/>
    <sortCondition ref="F14:F56"/>
  </sortState>
  <mergeCells count="6">
    <mergeCell ref="F11:F12"/>
    <mergeCell ref="G11:J11"/>
    <mergeCell ref="B11:B12"/>
    <mergeCell ref="C11:C12"/>
    <mergeCell ref="D11:D12"/>
    <mergeCell ref="E11:E12"/>
  </mergeCells>
  <conditionalFormatting sqref="F6:H9">
    <cfRule type="expression" dxfId="0" priority="1">
      <formula>F6&lt;2</formula>
    </cfRule>
  </conditionalFormatting>
  <pageMargins left="0.7" right="0.7" top="0.75" bottom="0.75" header="0.3" footer="0.3"/>
  <pageSetup scale="32" orientation="portrait" horizontalDpi="1200" verticalDpi="1200" r:id="rId1"/>
  <colBreaks count="1" manualBreakCount="1">
    <brk id="10" max="1048575" man="1"/>
  </colBreaks>
</worksheet>
</file>

<file path=docMetadata/LabelInfo.xml><?xml version="1.0" encoding="utf-8"?>
<clbl:labelList xmlns:clbl="http://schemas.microsoft.com/office/2020/mipLabelMetadata">
  <clbl:label id="{732535c9-f902-4625-a19b-ab6863a159e8}" enabled="1" method="Privileged" siteId="{8bc01b57-838e-4194-982d-4c58278d0de3}"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P09</vt:lpstr>
      <vt:lpstr>'P09'!Print_Area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Nong Thi Huong</dc:creator>
  <cp:lastModifiedBy>Luan, Nguyen Thanh Luan</cp:lastModifiedBy>
  <cp:lastPrinted>2025-07-01T12:17:07Z</cp:lastPrinted>
  <dcterms:created xsi:type="dcterms:W3CDTF">2025-07-01T11:38:19Z</dcterms:created>
  <dcterms:modified xsi:type="dcterms:W3CDTF">2026-10-02T02:22:00Z</dcterms:modified>
</cp:coreProperties>
</file>