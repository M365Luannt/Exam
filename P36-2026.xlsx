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napas365-my.sharepoint.com/personal/hienvb_napas_com_vn/Documents/Quản lý chung/ACH/Đánh giá năng lực (NS)/2026/TK-D09-ACH/TK-D09-ACH/"/>
    </mc:Choice>
  </mc:AlternateContent>
  <xr:revisionPtr revIDLastSave="26" documentId="13_ncr:1_{29CE3E56-075D-41AB-89C3-CCFB38094FE3}" xr6:coauthVersionLast="47" xr6:coauthVersionMax="47" xr10:uidLastSave="{FEAD266C-6F65-4D76-A4F0-4319B81C94A7}"/>
  <bookViews>
    <workbookView xWindow="-110" yWindow="-110" windowWidth="19420" windowHeight="11500" xr2:uid="{0A323993-6B0E-4465-9440-DABB234748ED}"/>
  </bookViews>
  <sheets>
    <sheet name="Sheet1" sheetId="1" r:id="rId1"/>
  </sheets>
  <definedNames>
    <definedName name="_xlnm._FilterDatabase" localSheetId="0" hidden="1">Sheet1!$B$13:$M$120</definedName>
    <definedName name="_xlnm.Print_Area" localSheetId="0">Sheet1!$B$1:$L$96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2" i="1" l="1"/>
  <c r="B91" i="1"/>
  <c r="B90" i="1"/>
  <c r="B89" i="1"/>
  <c r="B82" i="1"/>
  <c r="B81" i="1"/>
  <c r="B80" i="1"/>
  <c r="B79" i="1"/>
  <c r="B78" i="1"/>
  <c r="B77" i="1"/>
  <c r="B76" i="1"/>
  <c r="B75" i="1"/>
  <c r="B74" i="1"/>
  <c r="B73" i="1"/>
  <c r="B72" i="1"/>
  <c r="B71" i="1"/>
  <c r="B30" i="1"/>
  <c r="B29" i="1"/>
  <c r="B28" i="1"/>
  <c r="B27" i="1"/>
  <c r="B26" i="1"/>
  <c r="B25" i="1"/>
  <c r="B24" i="1"/>
  <c r="B23" i="1"/>
  <c r="B22" i="1"/>
  <c r="B21" i="1"/>
  <c r="B20" i="1"/>
  <c r="B19" i="1"/>
  <c r="B18" i="1"/>
  <c r="B17" i="1"/>
  <c r="B16" i="1"/>
  <c r="B15" i="1"/>
  <c r="B14" i="1"/>
  <c r="B44" i="1"/>
  <c r="B43" i="1"/>
  <c r="B42" i="1"/>
  <c r="B41" i="1"/>
  <c r="B40" i="1"/>
  <c r="B39" i="1"/>
  <c r="B38" i="1"/>
  <c r="B37" i="1"/>
  <c r="B36" i="1"/>
  <c r="B35" i="1"/>
  <c r="B34" i="1"/>
  <c r="B33" i="1"/>
  <c r="B32" i="1"/>
  <c r="B31" i="1"/>
  <c r="B62" i="1"/>
  <c r="B61" i="1"/>
  <c r="B60" i="1"/>
  <c r="B59" i="1"/>
  <c r="B58" i="1"/>
  <c r="B57" i="1"/>
  <c r="B56" i="1"/>
  <c r="B55" i="1"/>
  <c r="B54" i="1"/>
  <c r="B53" i="1"/>
  <c r="B52" i="1"/>
  <c r="B51" i="1"/>
  <c r="B50" i="1"/>
  <c r="B49" i="1"/>
  <c r="B48" i="1"/>
  <c r="B47" i="1"/>
  <c r="B46" i="1"/>
  <c r="B45" i="1"/>
  <c r="B64" i="1"/>
  <c r="B65" i="1"/>
  <c r="B66" i="1"/>
  <c r="B67" i="1"/>
  <c r="B68" i="1"/>
  <c r="B69" i="1"/>
  <c r="B70" i="1"/>
  <c r="B83" i="1"/>
  <c r="B84" i="1"/>
  <c r="B85" i="1"/>
  <c r="B86" i="1"/>
  <c r="B87" i="1"/>
  <c r="B88" i="1"/>
  <c r="B93" i="1"/>
  <c r="B94" i="1"/>
  <c r="B95" i="1"/>
  <c r="B96" i="1"/>
  <c r="B63" i="1"/>
  <c r="C13" i="1"/>
  <c r="D13" i="1"/>
  <c r="E13" i="1"/>
  <c r="F6" i="1" s="1"/>
  <c r="F13" i="1"/>
  <c r="G13" i="1"/>
  <c r="H13" i="1"/>
  <c r="I13" i="1"/>
  <c r="J13" i="1"/>
  <c r="B13" i="1"/>
  <c r="F7" i="1" l="1"/>
  <c r="F8" i="1"/>
  <c r="G9" i="1"/>
  <c r="H8" i="1"/>
  <c r="H9" i="1"/>
  <c r="G8" i="1"/>
  <c r="G7" i="1"/>
  <c r="H7" i="1"/>
  <c r="F9" i="1"/>
  <c r="G6" i="1"/>
  <c r="G5" i="1" s="1"/>
  <c r="H6" i="1"/>
  <c r="H5" i="1" s="1"/>
  <c r="E9" i="1"/>
  <c r="F5" i="1" l="1"/>
  <c r="E8" i="1"/>
  <c r="E5" i="1" s="1"/>
  <c r="E7" i="1"/>
  <c r="E6" i="1"/>
</calcChain>
</file>

<file path=xl/sharedStrings.xml><?xml version="1.0" encoding="utf-8"?>
<sst xmlns="http://schemas.openxmlformats.org/spreadsheetml/2006/main" count="454" uniqueCount="379">
  <si>
    <t>STT</t>
  </si>
  <si>
    <t>Mã khía cạnh</t>
  </si>
  <si>
    <t>Khía cạnh</t>
  </si>
  <si>
    <t>Cấp độ</t>
  </si>
  <si>
    <t>Đáp án đúng</t>
  </si>
  <si>
    <t>Phương án sai  1</t>
  </si>
  <si>
    <t>Phương án sai 2</t>
  </si>
  <si>
    <t>Phương án sai 3</t>
  </si>
  <si>
    <t>Câu hỏi</t>
  </si>
  <si>
    <t>Đáp án</t>
  </si>
  <si>
    <t xml:space="preserve">                        Khía cạnh
   Cấp độ                    </t>
  </si>
  <si>
    <t>TỔNG</t>
  </si>
  <si>
    <t>Nhận diện, đánh giá rủi ro: Xác định các rủi ro có thể xảy ra trong hoạt động của Công ty</t>
  </si>
  <si>
    <t>Ứng phó với rủi ro: Nhận diện, đánh giá và đưa ra các giải pháp giảm thiểu, phòng ngừa và xử lý rủi ro</t>
  </si>
  <si>
    <t>Kiểm soát và phòng ngừa rủi ro để đảm bảo sự hoạt động liên tục: Phân tích và đưa ra các dự báo sớm về các rủi ro có thể xảy ra</t>
  </si>
  <si>
    <t xml:space="preserve">Các phương pháp nhận diện, đánh giá rủi ro tại NAPAS là gì?
</t>
  </si>
  <si>
    <t>Cả 3 đáp án (Quy trình, Hệ thống, Con người)</t>
  </si>
  <si>
    <t>Quy trình</t>
  </si>
  <si>
    <t>Hệ Thồng</t>
  </si>
  <si>
    <t>Con Người</t>
  </si>
  <si>
    <t>Các rủi ro của Công ty được phân loại thành các nhóm nào?</t>
  </si>
  <si>
    <t>Tài chính, Chiến lược, Tuân thủ, Hoạt động</t>
  </si>
  <si>
    <t>Tài chính, Tiềm ẩn, Tuân thủ, Hoạt động</t>
  </si>
  <si>
    <t>Chiến lược, Tuân Thủ, Tiềm ẩn, Kiểm soát</t>
  </si>
  <si>
    <t>Tuân thủ, Hoạt động, Chiến lược, Kiểm soát</t>
  </si>
  <si>
    <t>Hãy cho ví dụ về 3 rủi ro an ninh thông tin mà nhân viên văn phòng thường gặp phải khi làm việc hàng ngày?</t>
  </si>
  <si>
    <t>1.Lộ mật khẩu do ghi chú trên giấy hoặc chia sẻ với đồng nghiệp.
2. Mở file đính kèm email lạ có thể chứa mã độc.
3. Kết nối vào mạng WiFi công cộng không bảo mật khi làm việc từ xa.</t>
  </si>
  <si>
    <t>1. Thiếu nhân sự
2. Giá cả nguyên liệu tăng
3. Thay đổi chính sách pháp luật.</t>
  </si>
  <si>
    <t>1. Tấn công DDoS làm sập hệ thống. 
2. Nhân viên không tuân thủ quy trình bảo mật. 
3. Chậm thanh toán lương cho nhân viên.</t>
  </si>
  <si>
    <t>1. Lỗ hổng phần mềm chưa được vá. 
 2. Mất điện đột ngột tại trung tâm dữ liệu. 
3. Giả mạo email lừa đảo (phishing). (Đúng)</t>
  </si>
  <si>
    <t>Hãy liệt kê 3 rủi ro trọng yếu về an ninh thông tin mà một công ty có thể gặp phải:</t>
  </si>
  <si>
    <t>1. Tấn công mạng
2. Rò rỉ dữ liệu
3. Lộ thông tin đăng nhập của người dùng nội bộ</t>
  </si>
  <si>
    <t>1. Mở file đính kèm email lạ có thể chứa mã độc.
2. Kết nối vào mạng WiFi công cộng không bảo mật khi làm việc từ xa.
3. Để quá nhiều file trên Desktop khiến máy tính hoạt động chậm</t>
  </si>
  <si>
    <t>1. Click vào đường link lạ trong email/chat
2. Sử dụng USB không rõ nguồn gốc trên máy tính cá nhân ở nhà
3. Để màn hình máy tính không khóa khi rời khỏi bàn làm việc</t>
  </si>
  <si>
    <t>1. Kết nối WiFi công cộng không dùng VPN
2. Tự ý đi vào trung tâm dữ liệu mà không cần xin phê duyệt
3. Ghi chú mật khẩu vào sổ tay</t>
  </si>
  <si>
    <t>Rủi ro bảo mật là mối đe dọa đến:
(1) Tính bảo mật (Confidentiality)
(2) Tính toàn vẹn (Integrity)
(3) Tính khả dụng (Availability)
(4) Danh tiếng, tài chính, tính tuân thủ pháp luật</t>
  </si>
  <si>
    <t>(1), (2), (3), (4)</t>
  </si>
  <si>
    <t>(1), (2), (3)</t>
  </si>
  <si>
    <t>(1), (3), (4)</t>
  </si>
  <si>
    <t>(2), (3), (4)</t>
  </si>
  <si>
    <t>Theo ý kiến của Anh/Chị, rủi ro nào nên được coi là rủi ro trọng yếu cấp độ Công ty cần được HĐQT/CTHĐQT trực tiếp giám sát, xử lý?</t>
  </si>
  <si>
    <t>Rủi ro thay đổi cơ chế quản lý, điều tiết của Nhà nước</t>
  </si>
  <si>
    <t>Rủi ro thay đổi công nghệ</t>
  </si>
  <si>
    <t xml:space="preserve">Rủi ro quản lý, vận hành </t>
  </si>
  <si>
    <t>Rủi ro thanh toán</t>
  </si>
  <si>
    <t>Trong quản trị doanh nghiệp, “rủi ro vận hành” thường liên quan đến:</t>
  </si>
  <si>
    <t>Liên quan đến cách quản lý vận hành và quy trình làm việc trong doanh nghiệp.</t>
  </si>
  <si>
    <t>Liên quan đến việc tuân thủ quy định của pháp luật và đáp ứng các yêu cầu về mặt pháp lý</t>
  </si>
  <si>
    <t>Phát sinh khi doanh nghiệp không tuân theo chiến lược đã định hoặc khi chiến lược không được đầu tư kỹ lưỡng</t>
  </si>
  <si>
    <t>Liên quan đến việc bảo vệ thông tin quan trọng của doanh nghiệp</t>
  </si>
  <si>
    <t>Bạn phát hiện có lỗi trong quá trình vận hành dịch vụ, có khả năng gây ra tổn thất về tài chính cho công ty, bạn cần làm gì ngay khi phát hiện?
(1) Báo cáo với quản lý cấp trên về hiện tượng nghi có lỗi 
(2) Chủ động xử lý, thay đổi môi trường thật để sửa lỗi
(3) Phân tích sơ bộ tác động, ảnh hưởng trên hệ thống
(4) Bỏ qua</t>
  </si>
  <si>
    <t xml:space="preserve">Bạn phát hiện một quy trình nghiệp vụ có khả năng gây chậm trễ thanh toán. Việc nào sau đây thể hiện đúng nguyên tắc đo lường rủi ro? </t>
  </si>
  <si>
    <t>Thống kê dữ liệu thực tế về số lượng giao dịch bị chậm trong 3 tháng gần nhất, phân tích mức độ ảnh hưởng đến đối tác và khách hàng.</t>
  </si>
  <si>
    <t>Báo ngay cho lãnh đạo để chấm dứt quy trình đang sử dụng.</t>
  </si>
  <si>
    <t>Đề xuất chuyển sang quy trình mới mà không cần phân tích thêm vì có nguy cơ rủi ro.</t>
  </si>
  <si>
    <t>Tạm thời dừng toàn bộ các giao dịch qua quy trình này để tránh phát sinh thêm lỗi.</t>
  </si>
  <si>
    <t>Bạn sẽ thu thập những loại thông tin nào để đánh giá mức độ ảnh hưởng của một sự cố rò rỉ dữ liệu trong hệ thống nội bộ?</t>
  </si>
  <si>
    <t>Logs hệ thống, mức độ truy cập dữ liệu, loại dữ liệu bị rò rỉ, thời gian bị lộ, phản hồi của người dùng.</t>
  </si>
  <si>
    <t>Xem logs tường lửa, IPS và logs truy cập máy tính của người dùng</t>
  </si>
  <si>
    <t>Tra cứu các sự cố tương tự trên internet để tìm kiếm thông tin tham khảo</t>
  </si>
  <si>
    <t>Trao đổi với người dùng bị ảnh hưởng để dự đoán nguyên nhân dữ liệu bị rò rỉ.</t>
  </si>
  <si>
    <t>Bạn sẽ thu thập và đánh giá thông tin như thế nào để đo lường mức độ rủi ro khi phát hiện một lỗ hổng bảo mật trong hệ thống?</t>
  </si>
  <si>
    <t>Thu thập logs, xem xét phạm vi ảnh hưởng, phân tích khả năng khai thác để đánh giá mức độ rủi ro theo khung quản trị rủi ro đã được ban hành.</t>
  </si>
  <si>
    <t>Tìm kiếm thông tin trên Internet về mức độ nghiêm trọng của lỗ hổng và xử lý theo quy trình quản lý điểm yếu và lỗ hổng bảo mật đã được ban hành.</t>
  </si>
  <si>
    <t>Ước lượng phạm vi ảnh hưởng của lỗ hổng bảo mật để đánh giá rủi ro theo khung quản trị rủi ro đã được ban hành</t>
  </si>
  <si>
    <t>Tính toán mức độ nghiêm trọng của lỗ hổng và giá trị tài sản bị ảnh hưởng bởi lỗ hổng để đánh giá rủi ro theo quy chế quản trị rủi ro đã ban hành.</t>
  </si>
  <si>
    <t>Các thông số/tham số/thang đo của mỗi rủi ro gồm:</t>
  </si>
  <si>
    <t>Cả 3 đáp án</t>
  </si>
  <si>
    <t>Khả năng xảy ra</t>
  </si>
  <si>
    <t>Mức độ tác động</t>
  </si>
  <si>
    <t>Rủi ro còn lại</t>
  </si>
  <si>
    <t>Trong quá trình đánh giá rủi ro từ sai sót của nhà cung cấp, bạn cần thực hiện bước nào đầu tiên?</t>
  </si>
  <si>
    <t>Xác định rủi ro tiềm ẩn liên quan đến nhà cung cấp.</t>
  </si>
  <si>
    <t>So sánh chi phí giữa các nhà cung cấp và lựa chọn đơn vị rẻ nhất.</t>
  </si>
  <si>
    <t>Đánh giá mức độ hài lòng của khách hàng cuối với nhà cung cấp.</t>
  </si>
  <si>
    <t>Yêu cầu nhà cung cấp nộp báo cáo tài chính ba năm gần nhất.</t>
  </si>
  <si>
    <t xml:space="preserve">Trong quá trình đánh giá rủi ro, bước đầu tiên cần thực hiện là gì? 
</t>
  </si>
  <si>
    <t>Xác định bối cảnh (hoặc phạm vi) của đánh giá rủi ro</t>
  </si>
  <si>
    <t>Lập kế hoạch xử lý rủi ro ngay sau khi phát hiện vấn đề</t>
  </si>
  <si>
    <t>Chọn công cụ phần mềm để tính toán chỉ số rủi ro</t>
  </si>
  <si>
    <t>Giao trách nhiệm quản lý rủi ro cho một cá nhân cụ thể</t>
  </si>
  <si>
    <t>Bạn sẽ đề xuất mức độ rủi ro chấp nhận được trong việc cho phép truy cập dữ liệu nhạy cảm qua thiết bị di động như thế nào?</t>
  </si>
  <si>
    <t>Xác định rủi ro cụ thể, phân tích hậu quả, đề xuất giới hạn dựa trên ảnh hưởng hoạt động của Công ty.</t>
  </si>
  <si>
    <t>Khảo sát nhu cầu sử xụng và xử lý theo từng tình huống cụ thể.</t>
  </si>
  <si>
    <t>Cấm hoàn toàn mọi truy cập vì có thể khiến Công ty gặp rủi ro lớn.</t>
  </si>
  <si>
    <t>Chấp nhận toàn bộ truy cập vì quá trình này giúp đẩy nhanh tốc độ xử lý công việc.</t>
  </si>
  <si>
    <t>Hãy đề xuất một giải pháp kiểm soát rủi ro cho việc sử dụng thiết bị cá nhân (BYOD) trong công ty.</t>
  </si>
  <si>
    <t>Áp dụng chính sách MDM (Mobile Device Management), mã hóa dữ liệu, và yêu cầu xác thực đa yếu tố.</t>
  </si>
  <si>
    <t>Cho phép nhân viên sử dụng thiết bị cá nhân để truy cập nhưng phải đăng nhập bằng tài khoản trên AD của Công ty.</t>
  </si>
  <si>
    <t>Áp dụng tiêu chí xác thực đa yếu tố trước khi truy cập tài nguyên của Công ty trên các thiết bị cá nhân.</t>
  </si>
  <si>
    <t>Cấm hoàn toàn việc sử dụng thiết bị cá nhân.</t>
  </si>
  <si>
    <t xml:space="preserve">Một công ty trung gian thanh toán triển khai hệ thống AI mới. Kết quả: xử lý nhanh hơn 20%, nhưng sai thông tin giao dịch tăng, nhân viên thao tác khó khăn. Rủi ro chính là?
</t>
  </si>
  <si>
    <t>Rủi ro vận hành do chuyển đổi công nghệ chưa kiểm soát được lỗi phát sinh</t>
  </si>
  <si>
    <t>Rủi ro khách hàng do dịch vụ kém gây mất uy tín</t>
  </si>
  <si>
    <t>Rủi ro nhân sự do thiếu đào tạo trong giai đoạn chuyển đổi</t>
  </si>
  <si>
    <t>Rủi ro bảo mật nếu AI xử lý sai dữ liệu khách hàng</t>
  </si>
  <si>
    <t xml:space="preserve">Một công ty trung gian thanh toán triển khai hệ thống AI mới. Kết quả: xử lý nhanh hơn 20%, nhưng tỷ lệ sai thông tin giao dịch cũng tăng, nhân viên thao tác khó khăn. Rủi ro chính là gì? 
(1) Rủi ro thị trường – do phản ứng tiêu cực từ khách hàng
(2) Rủi ro pháp lý – do vi phạm các quy định vận hành giao dịch
(3) Rủi ro vận hành – do thay đổi hệ thống làm giảm hiệu quả kiểm soát và tăng lỗi thao tác
(4) Rủi ro bảo mật – do AI có thể làm lộ thông tin người dùng
</t>
  </si>
  <si>
    <t>(3)</t>
  </si>
  <si>
    <t>(2)</t>
  </si>
  <si>
    <t>(1)</t>
  </si>
  <si>
    <t>(4)</t>
  </si>
  <si>
    <t>Một doanh nghiệp dựa quá nhiều vào một nhà cung cấp duy nhất cho 80% hàng hóa. Điều này có thể dẫn đến loại rủi ro tiên quyết nào?</t>
  </si>
  <si>
    <t>Rủi ro chuỗi cung ứng do thiếu sự đa dạng và tính thay thế về nguồn cung</t>
  </si>
  <si>
    <t>Rủi ro pháp lý do vi phạm hợp đồng nếu nhà cung cấp dừng giao hàng đột ngột</t>
  </si>
  <si>
    <t>Rủi ro tài chính vì chi phí có thể bị đẩy lên nếu không có lựa chọn thay thế</t>
  </si>
  <si>
    <t xml:space="preserve">Rủi ro mất khách hàng vì khách hàng có thể không thích ứng với hàng hóa thay thế
</t>
  </si>
  <si>
    <t>Một doanh nghiệp dựa quá nhiều vào một sản phẩm dịch vụ cốt lõi, chiếm đến 90% doanh thu. Điều này có thể dẫn đến loại rủi ro nào?</t>
  </si>
  <si>
    <t>Rủi ro tập trung hoặc rủi ro kinh doanh
Nếu có sự thay đổi bất lợi về thị trường, công nghệ, pháp lý, hoặc nhu cầu đối với sản phẩm dịch vụ đó, doanh nghiệp sẽ dễ rơi vào khủng hoảng và ảnh hưởng nghiêm trọng đến kết quả kinh doanh, thậm chí khả năng hoạt động liên tục.</t>
  </si>
  <si>
    <t>Rủi ro vận hành phát sinh khi hệ thống công nghệ xử lý đơn hàng gặp trục trặc, dẫn đến gián đoạn quy trình nội bộ và giảm hiệu suất làm việc trong một số phòng ban.</t>
  </si>
  <si>
    <t>Rủi ro tài chính liên quan đến biến động tỷ giá, chi phí nguyên vật liệu tăng cao làm ảnh hưởng đến biên lợi nhuận trong ngắn hạn.</t>
  </si>
  <si>
    <t>Rủi ro tuân thủ do thay đổi trong chính sách kế toán và quy định báo cáo tài chính có thể khiến doanh nghiệp bị kiểm toán lưu ý.</t>
  </si>
  <si>
    <t xml:space="preserve">Một số dịch vụ cốt lõi của NAPAS đang phụ thuộc vào kết nối duy nhất với một nhà cung cấp giải pháp công nghệ hạ tầng. Trong trường hợp đơn vị đó gặp sự cố kéo dài, toàn bộ dịch vụ có nguy cơ bị gián đoạn.
Bạn đánh giá đây là dạng rủi ro nào và giải pháp kiểm soát phù hợp là gì?
</t>
  </si>
  <si>
    <t>Rủi ro tập trung hạ tầng – cần phân tán rủi ro bằng đa nhà cung cấp hoặc dự phòng độc lập.</t>
  </si>
  <si>
    <t>Rủi ro bảo mật – xử lý bằng mã hóa và xác thực nhiều lớp.</t>
  </si>
  <si>
    <t>Rủi ro kỹ thuật – xử lý bằng nâng cấp máy chủ thường xuyên.</t>
  </si>
  <si>
    <t>Rủi ro thị trường – xử lý bằng khảo sát mức độ hài lòng người dùng.</t>
  </si>
  <si>
    <t>Bạn sẽ đề xuất thay đổi mô hình quản trị rủi ro an ninh thông tin hiện tại như thế nào để đáp ứng các rủi ro phát sinh từ AI?</t>
  </si>
  <si>
    <t>Tích hợp phân tích rủi ro AI, thêm quy trình đánh giá thuật toán, huấn luyện chuyên sâu cho đội ngũ phát triển và quản trị.</t>
  </si>
  <si>
    <t>Không thay đổi gì vì mô hình hiện tại được đưa ra để áp dụng cho tất cả hệ thống công nghệ mà AI cũng hoạt động trên các hệ thống công nghệ đó.</t>
  </si>
  <si>
    <t>Giao toàn bộ cho bên thứ ba đánh giá rủi ro định kỳ hàng năm.</t>
  </si>
  <si>
    <t>Cân nhắc loại bỏ AI vì tác dụng đem lại không nhiều trong bối cảnh an ninh thông tin hiện nay mà lại làm phát sinh thêm rủi ro</t>
  </si>
  <si>
    <t>NAPAS có thường xuyên cập nhật các mô hình quản trị rủi ro theo thông lệ quốc tế (ISO,...) hay không?</t>
  </si>
  <si>
    <t>Có, NAPAS thường xuyên cập nhật và tham chiếu các chuẩn mực quốc tế để hoàn thiện hệ thống quản trị rủi ro.</t>
  </si>
  <si>
    <t>Không, vì NAPAS chỉ áp dụng theo các quy định nội bộ và quy định của Ngân hàng Nhà nước mà không cần theo thông lệ quốc tế</t>
  </si>
  <si>
    <t>Có, nhưng chỉ giới hạn ở mảng công nghệ thông tin, không áp dụng cho các rủi ro tài chính hay vận hành</t>
  </si>
  <si>
    <t>Không cần thiết, vì các thông lệ quốc tế thường quá rộng, không phù hợp với đặc thù vận hành tại Việt Nam</t>
  </si>
  <si>
    <t>Tập đoàn X triển khai dịch vụ thanh toán xuyên biên giới bằng công nghệ blockchain, trong khi chưa có khung pháp lý đầy đủ từ cơ quan quản lý. Bộ phận rủi ro được giao nhiệm vụ xây dựng mô hình nhận diện và đo lường rủi ro tổng thể của hoạt động này.
Giải pháp nào thể hiện năng lực đổi mới trong mô hình quản trị rủi ro phù hợp nhất?</t>
  </si>
  <si>
    <t>Xây dựng mô hình rủi ro thử nghiệm (sandbox) kết hợp nhiều phương pháp, điều chỉnh theo rủi ro công nghệ mới và tính chất xuyên biên giới</t>
  </si>
  <si>
    <t>Tạm hoãn triển khai dịch vụ cho đến khi có hướng dẫn pháp lý chính thức</t>
  </si>
  <si>
    <t>Sử dụng mô hình rủi ro hiện tại áp dụng cho dịch vụ thẻ để đánh giá rủi ro blockchain</t>
  </si>
  <si>
    <t>Giao trách nhiệm giám sát rủi ro cho đối tác công nghệ cung cấp giải pháp blockchain</t>
  </si>
  <si>
    <t>Trong bối cảnh chuyển đổi số, yếu tố nào sau đây được xem là xu hướng quan trọng trong quản trị rủi ro tương lai?</t>
  </si>
  <si>
    <t>Ứng dụng trí tuệ nhân tạo và dữ liệu lớn để dự báo rủi ro</t>
  </si>
  <si>
    <t>Giảm thiểu sử dụng dữ liệu để tránh rủi ro bảo mật</t>
  </si>
  <si>
    <t>Tăng cường sử dụng cảm tính trong đánh giá rủi ro</t>
  </si>
  <si>
    <t>Chỉ dựa vào báo cáo định kỳ để phát hiện rủi ro</t>
  </si>
  <si>
    <t>Các biện pháp ứng phó với rủi ro thường gặp?</t>
  </si>
  <si>
    <t>Tất cả các đáp án</t>
  </si>
  <si>
    <t>Chấp nhận, Giảm thiểu rủi ro</t>
  </si>
  <si>
    <t>Né tránh, Chuyển giao rủi ro</t>
  </si>
  <si>
    <t>Giảm thiểu rủi ro, Chuyển giao rủi ro</t>
  </si>
  <si>
    <t>Dấu hiệu nào sau đây có thể cho thấy rủi ro vận hành trong hệ thống thanh toán?
1. Tần suất lỗi giao dịch tăng
2. Thời gian xử lý giao dịch chậm
3. Thay đổi chính sách pháp lý từ cơ quan quản lý
4. Sự cố hệ thống
5. Khách hàng thay đổi phương thức thanh toán</t>
  </si>
  <si>
    <t>(1), (2), (4)</t>
  </si>
  <si>
    <t>(2), (3), (5)</t>
  </si>
  <si>
    <t xml:space="preserve">Dấu hiệu nào sau đây có thể cho thấy rủi ro vận hành trong hệ thống thanh toán?
(1) Hệ thống thanh toán ghi nhận số lượng giao dịch tăng bất thường so với cùng kỳ
(2) Thời gian xử lý giao dịch tăng đột ngột, trong khi không có thay đổi về lưu lượng hay hạ tầng
(3) Một khách hàng phàn nàn về việc không nhận được xác nhận giao dịch, nhưng giao dịch đã trừ tiền
</t>
  </si>
  <si>
    <t>(2), (3)</t>
  </si>
  <si>
    <t>(1), (2)</t>
  </si>
  <si>
    <t>(1), (3)</t>
  </si>
  <si>
    <t>Khi phát hiện sai lệch nhỏ trong quy trình vận hành, bước đầu tiên cần làm theo quy trình chuẩn là:
(1) Đề xuất ngay biện pháp xử lý thay đổi quy trình kỹ thuật
(2) Báo cáo cấp quản lý và thực hiện điều chỉnh quy trình ngay
(3) Thu thập thông tin và đánh giá nguyên nhân, phạm vi ảnh hưởng
(4) Bỏ qua nếu sai lệch nhỏ không ảnh hưởng đến kết quả cuối cùng</t>
  </si>
  <si>
    <t>Thu thập thông tin và đánh giá nguyên nhân, phạm vi ảnh hưởng</t>
  </si>
  <si>
    <t>Báo cáo cấp quản lý và thực hiện điều chỉnh quy trình ngay</t>
  </si>
  <si>
    <t>Đề xuất ngay biện pháp xử lý thay đổi quy trình kỹ thuật</t>
  </si>
  <si>
    <t>Bỏ qua nếu sai lệch nhỏ không ảnh hưởng đến kết quả cuối cùng</t>
  </si>
  <si>
    <t>Công ty ghi nhận số lượng giao dịch bị từ chối tăng cao bất thường trong vòng một tuần, gây ảnh hưởng đến trải nghiệm khách hàng. Để xác định nguyên nhân gốc rễ, bước phân tích nào là ưu tiên và phù hợp nhất?</t>
  </si>
  <si>
    <t>Phân tích dữ liệu lịch sử về lỗi giao dịch và so sánh theo ngày</t>
  </si>
  <si>
    <t>Gửi email hỏi tất cả các ngân hàng về lý do từ chối giao dịch</t>
  </si>
  <si>
    <t>Tăng ngưỡng xác thực để hạn chế các lỗi phát sinh</t>
  </si>
  <si>
    <t>Tạm ngưng dịch vụ trong 2 ngày để kiểm tra toàn diện hệ thống</t>
  </si>
  <si>
    <t>Nhà thầu chậm khắc phục sự cố nhiều lần làm ảnh hưởng đến hoạt động liên tục của NAPAS. Đâu là cách phân tích bản chất rủi ro phù hợp để tìm ra nguyên nhân?</t>
  </si>
  <si>
    <t>Phân tích nguyên nhân gốc rễ, tập trung đánh giá năng lực, quy trình xử lý sự cố, tài nguyên, giao tiếp và lịch sử thực hiện của nhà thầu để xác định điểm yếu trong khả năng khắc phục và phối hợp.</t>
  </si>
  <si>
    <t xml:space="preserve">Tập trung phân tích mức độ ảnh hưởng tài chính do sự cố gây ra để tính toán chi phí bồi thường và đánh giá mức độ thiệt hại cho từng lần chậm khắc phục của nhà thầu.
</t>
  </si>
  <si>
    <t xml:space="preserve">Thực hiện khảo sát mức độ hài lòng của các phòng ban nội bộ và đề xuất thay đổi tạm thời quy trình phối hợp để đảm bảo các đơn vị không bị ảnh hưởng trong thời gian khắc phục.
</t>
  </si>
  <si>
    <t>Tổng hợp số lần vi phạm hợp đồng của nhà thầu và đề xuất áp dụng chế tài xử lý theo điều khoản hợp đồng hiện hành thay vì tập trung vào phân tích nội dung chuyên môn.</t>
  </si>
  <si>
    <t>Một công ty ghi nhận số lượng giao dịch thanh toán bị từ chối tăng cao bất thường trong vòng một tuần, gây ảnh hưởng đến trải nghiệm khách hàng. Để xác định nguyên nhân gốc rễ, bước phân tích nào là ưu tiên và phù hợp nhất?</t>
  </si>
  <si>
    <t>Để xác định nguyên nhân gốc rễ, cần ưu tiên phân tích dữ liệu giao dịch, bao gồm thời gian xảy ra lỗi, loại giao dịch, mã lỗi, nhóm khách hàng bị ảnh hưởng và các thay đổi gần đây trong hệ thống hoặc quy trình.</t>
  </si>
  <si>
    <t>Ưu tiên thu thập phản hồi từ khách hàng để đánh giá mức độ hài lòng và xác định cảm nhận của người dùng về sự cố, từ đó đưa ra biện pháp cải thiện quy trình truyền thông và chăm sóc khách hàng.</t>
  </si>
  <si>
    <t>Thực hiện họp liên phòng ban để rà soát lại quy trình vận hành tổng thể và yêu cầu các bộ phận lập báo cáo đánh giá hiệu suất làm việc trong tuần xảy ra sự cố nhằm xác định trách nhiệm xử lý.</t>
  </si>
  <si>
    <t xml:space="preserve">Triển khai nhanh các biện pháp khắc phục tạm thời để giảm số lượng giao dịch bị từ chối, đồng thời yêu cầu nhà cung cấp hạ tầng tăng tài nguyên hệ thống mà không cần phân tích chi tiết dữ liệu ban đầu.
</t>
  </si>
  <si>
    <t>Một email lạ được gửi đến toàn bộ nhân viên công ty có chứa đường link dẫn đến trang web giả mạo. Bạn sẽ thực hiện bước nào dưới đây để xác định nguyên nhân của sự việc?</t>
  </si>
  <si>
    <t>Kiểm tra xem có nhân viên nào đã bấm vào liên kết lạ trong email hoặc tải về file đáng ngờ trước đó hay không</t>
  </si>
  <si>
    <t>Báo ngay cho truyền thông nội bộ để cảnh báo toàn bộ người dùng trong Công ty về vụ việc.</t>
  </si>
  <si>
    <t>Yêu cầu toàn bộ nhân viên đổi mật khẩu</t>
  </si>
  <si>
    <t>Gỡ bỏ email khỏi toàn bộ hộp thư đến và xóa vĩnh viễn khỏi máy chủ.</t>
  </si>
  <si>
    <t>Một hệ thống bị gián đoạn 30 phút do lỗi cấu hình tường lửa chặn nhầm luồng dữ liệu hợp lệ. Đâu là cách tiếp cận phù hợp để xác định nguyên nhân và đề xuất khắc phục ở mức cơ bản?</t>
  </si>
  <si>
    <t>Rà soát log hệ thống, xác định thời điểm bắt đầu lỗi, đối chiếu với thay đổi gần nhất trong cấu hình và đề xuất rollback cấu hình.</t>
  </si>
  <si>
    <t>Rollback toàn bộ cấu hình của hệ thống tường lửa ở thời điểm tốt nhất mà bạn nhớ để tránh lỗi tương tự lặp lại.</t>
  </si>
  <si>
    <t>Thử thay đổi ngẫu nhiên các tham số cấu hình để kiểm tra xem hệ thống có hoạt động trở lại hay không.</t>
  </si>
  <si>
    <t>Khôi phục lại cài đặt gốc của thiết bị để đảm bảo các thiết lập không chính xác bị loại bỏ</t>
  </si>
  <si>
    <t>Phương pháp nào sau đây thường được sử dụng để phân tích nguyên nhân gốc rễ của một vấn đề?</t>
  </si>
  <si>
    <t>Sơ đồ xương cá (Fishbone Diagram)</t>
  </si>
  <si>
    <t>Ma trận SWOT</t>
  </si>
  <si>
    <t>Biểu đồ Gantt</t>
  </si>
  <si>
    <t>Biểu đồ Pareto</t>
  </si>
  <si>
    <t>Trong quá trình đối soát dữ liệu giao dịch với TCTV, hệ thống NAPAS ghi nhận tỷ lệ sai lệch giao dịch tăng bất thường trong 3 tuần gần đây, chủ yếu ở nhóm giao dịch QR. Bộ phận kỹ thuật xác nhận không có lỗi xử lý hệ thống hoặc mất dữ liệu, nhưng nguyên nhân sai lệch chưa được xác định rõ.
Đâu là bước phân tích bản chất rủi ro phù hợp nhất để xác định nguyên nhân?</t>
  </si>
  <si>
    <t>Đối chiếu log giao dịch NAPAS với bản tin đầu vào – đầu ra (với 2 bên tham gia giao dịch) để phát hiện điểm sai lệch</t>
  </si>
  <si>
    <t>Gửi cảnh báo cho ngân hàng và yêu cầu đối soát lại toàn bộ giao dịch trong ngày</t>
  </si>
  <si>
    <t>Kiểm tra định dạng và cấu trúc dữ liệu đối soát từ phía ngân hàng gửi lên</t>
  </si>
  <si>
    <t>Tạm dừng xử lý giao dịch QR với ngân hàng đó trong 3 ngày</t>
  </si>
  <si>
    <t>Việc phân tích nguyên nhân giúp tổ chức như thế nào?</t>
  </si>
  <si>
    <t>Cải thiện quy trình và phòng ngừa rủi ro tái diễn</t>
  </si>
  <si>
    <t>Tăng doanh thu ngay lập tức</t>
  </si>
  <si>
    <t>Xác định trách nhiệm cá nhân</t>
  </si>
  <si>
    <t>Giảm số lượng nhân viên cần thiết</t>
  </si>
  <si>
    <t>Bạn nhận được thông tin trong một tình huống rủi ro có thể gây trì hoãn tiến độ dự án chiến lược, cách ứng xử phù hợp là gì?</t>
  </si>
  <si>
    <t>Đề xuất phương án ứng phó đảm bảo an toàn nhưng vẫn giữ được tiến độ hợp lý</t>
  </si>
  <si>
    <t>Tạm dừng dự án để điều tra toàn diện</t>
  </si>
  <si>
    <t>Bỏ qua rủi ro để đảm bảo dự án triển khai đúng thời gian</t>
  </si>
  <si>
    <t>Chuyển toàn bộ trách nhiệm cho Ban điều hành</t>
  </si>
  <si>
    <t>Khi phát hiện hệ thống bị xâm nhập, bạn hãy nêu một số yếu tố cần xem xét để xác định nguyên nhân?</t>
  </si>
  <si>
    <t>Xem log hệ thống, kiểm tra lịch sử truy cập, phân tích điểm yếu trong cấu hình bảo mật.</t>
  </si>
  <si>
    <t>Kiểm tra lại phần mềm diệt virus đang sử dụng và khởi động lại hệ thống</t>
  </si>
  <si>
    <t>Liên hệ nhà cung cấp để yêu cầu bản vá lỗi mới nhất, đồng thời xóa mọi tài khoản người dùng chưa đăng nhập 30 ngày.</t>
  </si>
  <si>
    <t>Chặn toàn bộ kết nối đến hệ thống bị xâm nhập trên tường lửa để tránh cuộc tấn công lan rộng.</t>
  </si>
  <si>
    <t>Khi phát hiện rủi ro bảo mật trong hệ thống CNTT, nhưng việc khắc phục có thể làm gián đoạn hoạt động kinh doanh. Bạn nên làm gì?</t>
  </si>
  <si>
    <t>Chuyển trách nhiệm cho bộ phận IT mà không can thiệp</t>
  </si>
  <si>
    <t>Tạm dừng toàn bộ hệ thống để xử lý ngay</t>
  </si>
  <si>
    <t>Bỏ qua rủi ro vì chưa có sự cố xảy ra</t>
  </si>
  <si>
    <t>Đánh giá mức độ rủi ro và lên kế hoạch xử lý theo từng giai đoạn để giảm thiểu gián đoạn</t>
  </si>
  <si>
    <t>Một đối tác chiến lược yêu cầu truy cập trực tiếp vào hệ thống dữ liệu giao dịch để tích hợp dịch vụ, trong khi phòng An toàn thông tin cảnh báo rằng yêu cầu này tiềm ẩn rủi ro rò rỉ thông tin khách hàng. Là người phụ trách quản lý rủi ro, bạn sẽ lựa chọn phương án nào để cân bằng giữa yêu cầu tích hợp và đảm bảo an toàn thông tin?</t>
  </si>
  <si>
    <t>Đề xuất phương án cung cấp dữ liệu đã được mask hoặc truy cập qua API giới hạn phạm vi, có cơ chế giám sát.</t>
  </si>
  <si>
    <t>Cho phép truy cập đầy đủ nhưng yêu cầu ký NDA trong đó đối tác cam kết không làm rò rỉ dữ liệu.</t>
  </si>
  <si>
    <t xml:space="preserve">Cho phép truy cập trực tiếp, nhưng yêu cầu đối tác ký cam kết bảo mật và có đại diện kỹ thuật của công ty giám sát. </t>
  </si>
  <si>
    <t>Chấp thuận truy cập tạm thời và yêu cầu đối tác chịu hoàn toàn trách nhiệm nếu xảy ra sự cố.</t>
  </si>
  <si>
    <t>Một hệ thống xử lý giao dịch bị treo đột ngột trong giờ cao điểm, ảnh hưởng tới 40% giao dịch. Giải pháp nào dưới đây vừa đảm bảo duy trì dịch vụ, vừa hạn chế tổn thất pháp lý và uy tín?</t>
  </si>
  <si>
    <t>Kích hoạt quy trình khẩn cấp: phối hợp đa phòng ban (IT, kỹ thuật, pháp chế, dịch vụ khách hàng), phân loại lỗi, thực hiện xử lý tạm thời có kiểm soát và cập nhật thông báo tới ngân hàng.</t>
  </si>
  <si>
    <t>Tạm dừng toàn bộ giao dịch để điều tra nguyên nhân, đảm bảo không phát sinh thêm lỗi.</t>
  </si>
  <si>
    <t>Kích hoạt hệ thống dự phòng để xử lý toàn bộ giao dịch chưa hoàn tất, song song tiếp tục theo dõi.</t>
  </si>
  <si>
    <t>Chuyển toàn bộ lỗi cho bộ phận IT khắc phục, các phòng khác chờ kết quả điều tra.</t>
  </si>
  <si>
    <t>Nhà thầu tiết lộ thông tin trong hợp đồng thuê tư vấn phát triển phần mềm cho dịch vụ mới của NAPAS.  Giải pháp nào dưới đây vừa đảm bảo việc thực hiện hợp đồng, vừa hạn chế tổn thất cho NAPAS?</t>
  </si>
  <si>
    <t>Kích hoạt điều khoản bảo mật hợp đồng, đánh giá mức độ rò rỉ và tác động, kiểm soát việc tiếp tục hợp tác với nhà thầu, tăng cường giám sát và biện pháp bảo mật, đồng thời truyền thông nội bộ và quản trị khủng hoảng nếu cần thiết.</t>
  </si>
  <si>
    <t xml:space="preserve">Ngay lập tức chấm dứt hợp đồng với nhà thầu, dừng toàn bộ dự án để rà soát lại quy trình nội bộ và khởi kiện nhà thầu ra tòa nhằm làm rõ trách nhiệm pháp lý và yêu cầu bồi thường thiệt hại.
</t>
  </si>
  <si>
    <t>Tạm thời đình chỉ toàn bộ quyền truy cập hệ thống của nhà thầu và yêu cầu các đơn vị nội bộ không trao đổi thêm thông tin nào cho đến khi có kết luận điều tra nội bộ chính thức từ bộ phận pháp chế.</t>
  </si>
  <si>
    <t>Tiếp tục triển khai hợp đồng như bình thường vì việc tiết lộ thông tin chưa gây hậu quả trực tiếp, đồng thời đưa ra cảnh báo miệng để răn đe và theo dõi hành vi nhà thầu trong các giai đoạn tiếp theo.</t>
  </si>
  <si>
    <t>Một rủi ro pháp lý phát sinh từ hợp đồng đối tác có thể ảnh hưởng đến uy tín công ty. Tuy nhiên, việc hủy hợp đồng sẽ gây thiệt hại tài chính. Phương án phù hợp là?</t>
  </si>
  <si>
    <t>Đàm phán điều chỉnh điều khoản hợp đồng để giảm thiểu rủi ro pháp lý và duy trì hợp tác</t>
  </si>
  <si>
    <t>Hủy hợp đồng ngay để tránh rủi ro</t>
  </si>
  <si>
    <t>Tiếp tục hợp tác và chấp nhận rủi ro</t>
  </si>
  <si>
    <t>Chuyển vụ việc cho bộ phận pháp lý xử lý mà không can thiệp</t>
  </si>
  <si>
    <t>Phân tích rủi ro trong hợp đồng thuê ngoài phát triển phần mềm thấy nhiều điều khoản không rõ ràng về trách nhiệm pháp lý. Lựa chọn nào sau đây là tối ưu nhất để xử lý rủi ro mà vẫn thực hiện được hợp đồng?</t>
  </si>
  <si>
    <t>Đàm phán và sửa đổi hợp đồng để làm rõ trách nhiệm pháp lý, điều khoản bảo mật, sở hữu trí tuệ và đảm bảo tính pháp lý, nhằm vừa kiểm soát rủi ro vừa tiếp tục thực hiện hợp đồng hiệu quả.</t>
  </si>
  <si>
    <t xml:space="preserve">Tạm hoãn toàn bộ tiến độ triển khai dự án cho đến khi rà soát xong toàn bộ hợp đồng và hoàn thiện các điều khoản pháp lý, kể cả khi điều này ảnh hưởng đến cam kết tiến độ với đối tác.
</t>
  </si>
  <si>
    <t xml:space="preserve">Chấm dứt hợp đồng với nhà cung cấp hiện tại và khởi động quy trình đấu thầu lại để lựa chọn đơn vị thay thế có hợp đồng mẫu rõ ràng, hạn chế tối đa các điều khoản pháp lý không minh bạch.
</t>
  </si>
  <si>
    <t xml:space="preserve">Chuyển toàn bộ rủi ro pháp lý sang phía nhà thầu bằng phụ lục đơn phương, đồng thời yêu cầu họ tự chịu trách nhiệm giải trình mà không cần thay đổi nội dung chính trong hợp đồng đã ký.
</t>
  </si>
  <si>
    <t>Làm thế nào để đảm bảo hệ thống AI của bạn không bị poisoning attack?</t>
  </si>
  <si>
    <t>Triển khai cơ chế xác thực nguồn gốc dữ liệu, phát hiện dữ liệu training bất thường, differential privacy khi tập hợp dữ liệu từ nhiều nguồn, giám sát hiệu suất mô hình theo thời gian thực, cảnh báo khi có bất thường.</t>
  </si>
  <si>
    <t>Triển khai xác thực đa yếu tố, mã hóa toàn bộ dữ liệu training bằng AES-256, giới hạn truy cập tối thiểu, giám sát sự kiện an ninh thông tin và cảnh báo khi có bất thường.</t>
  </si>
  <si>
    <t xml:space="preserve">Ưu tiên nâng cấp phần cứng GPU để cải thiện cơ chế thu thập dữ liệu, yêu cầu tất cả dữ liệu training phải được gán nhãn thủ công, phát triển giao diện giám sát trực quan tích hợp cảnh báo tự động. </t>
  </si>
  <si>
    <t>Kiểm tra chất lượng dữ liệu training bằng sampling ngẫu nhiên, Yêu cầu tất cả dữ liệu training phải được gán nhãn thủ công,  cách ly mô hình bị poisoning sau khi phát hiện sự cố, sao lưu mô hình định kỳ để khôi phục khi bị tấn công.</t>
  </si>
  <si>
    <t>Một doanh nghiệp phát hiện nguy cơ mất dữ liệu khách hàng nếu tiếp tục sử dụng hệ thống lưu trữ hiện tại, nhưng ngân sách chuyển đổi hệ thống còn hạn chế. Phương án nào là cách ứng phó rủi ro phù hợp và cân bằng lợi ích?</t>
  </si>
  <si>
    <t>Đánh giá lại mức độ rủi ro và giá trị dữ liệu, áp dụng biện pháp giảm thiểu tạm thời như mã hóa, sao lưu, kiểm soát truy cập; đồng thời xây dựng lộ trình chuyển đổi hệ thống theo từng giai đoạn phù hợp ngân sách để vừa bảo vệ dữ liệu trước mắt, vừa đảm bảo chuyển đổi bền vững.</t>
  </si>
  <si>
    <t>Dừng toàn bộ việc sử dụng hệ thống hiện tại ngay lập tức và chờ đến khi có đủ ngân sách để thay thế hoàn toàn bằng hệ thống mới nhằm tránh mọi rủi ro phát sinh, bất kể thời gian gián đoạn kéo dài bao lâu.</t>
  </si>
  <si>
    <t>Tạm thời bỏ qua cảnh báo rủi ro do chưa có sự cố nghiêm trọng xảy ra, tiếp tục vận hành như cũ cho đến khi có kế hoạch ngân sách đầy đủ và triển khai chuyển đổi hệ thống toàn diện sau.</t>
  </si>
  <si>
    <t>Chuyển giao toàn bộ dữ liệu cho một bên cung cấp lưu trữ bên ngoài có giá rẻ hơn, không cần đánh giá sâu về rủi ro hay biện pháp kiểm soát tạm thời, nhằm tiết kiệm chi phí trước mắt và đẩy nhanh tiến độ.</t>
  </si>
  <si>
    <t>Một hệ thống cảnh báo rủi ro hiệu quả cần có khả năng nào sau đây?</t>
  </si>
  <si>
    <t>Phân tích dữ liệu đầu vào để đưa ra cảnh báo sớm, đúng thời điểm và đúng đối tượng</t>
  </si>
  <si>
    <t>Cảnh báo càng nhiều càng tốt để tránh bỏ sót</t>
  </si>
  <si>
    <t>Chỉ cảnh báo khi rủi ro đã xảy ra</t>
  </si>
  <si>
    <t>Cảnh báo theo lịch định kỳ, không cần theo thời gian thực</t>
  </si>
  <si>
    <t>Một hệ thống cảnh báo rủi ro hiệu quả cần đảm bảo yếu tố nào sau đây?</t>
  </si>
  <si>
    <t>Tự động hóa, cập nhật theo thời gian thực và tích hợp với hệ thống ra quyết định</t>
  </si>
  <si>
    <t>Gửi email cảnh báo hàng tuần</t>
  </si>
  <si>
    <t>Được vận hành thủ công bởi một nhóm chuyên trách</t>
  </si>
  <si>
    <t>Chỉ áp dụng cho các rủi ro đã xảy ra trong quá khứ</t>
  </si>
  <si>
    <t>Khi nhận thấy có dấu hiệu rủi ro liên quan đến công việc được giao, bước đầu tiên nên làm là gì?</t>
  </si>
  <si>
    <t>Kiểm tra lại thông tin, làm rõ dữ kiện và đối chiếu với quy trình xử lý rủi ro hiện hành.</t>
  </si>
  <si>
    <t>Gửi cảnh báo khẩn cấp đến tất cả các đơn vị liên quan.</t>
  </si>
  <si>
    <t>Tạm dừng toàn bộ hoạt động liên quan đến công việc để tránh rủi ro lan rộng.</t>
  </si>
  <si>
    <t>Lập tức báo cáo lãnh đạo cấp cao để xin ý kiến xử lý.</t>
  </si>
  <si>
    <t>Khi phát hiện một file đáng ngờ trong hệ thống công ty, bạn sẽ làm gì đầu tiên để xử lý rủi ro an ninh thông tin?</t>
  </si>
  <si>
    <t>Báo cáo ngay cho phòng An toàn thông tin để xác minh và có hướng dẫn cụ thể</t>
  </si>
  <si>
    <t>Mở file ra kiểm tra nội dung để xem có gì bất thường</t>
  </si>
  <si>
    <t>Gửi file đó qua email cho đồng nghiệp nhờ họ tư vấn</t>
  </si>
  <si>
    <t>Lưu file vào USB cá nhân để phân tích sau khi về nhà</t>
  </si>
  <si>
    <t>Nêu các bước cơ bản trong quy trình xử lý sự cố rò rỉ dữ liệu.</t>
  </si>
  <si>
    <t>Cô lập hệ thống, đánh giá thiệt hại, thông báo cho bộ phận liên quan, khắc phục và báo cáo.</t>
  </si>
  <si>
    <t>Báo cáo sự cố cho phòng An toàn thông tin</t>
  </si>
  <si>
    <t>Tắt toàn bộ hệ thống để tránh lỗi lan rộng.</t>
  </si>
  <si>
    <t>Tìm người chịu trách nhiệm cho sự cố này để yêu cầu khắc phục.</t>
  </si>
  <si>
    <t>Quy trình xử lý rủi ro thông thường bao gồm các bước:</t>
  </si>
  <si>
    <t>Xác định rủi ro → Phân tích rủi ro → Đánh giá tác động → Đề xuất biện pháp xử lý và giám sát</t>
  </si>
  <si>
    <t>Phát hiện rủi ro → Xử lý rủi ro → Báo cáo cho Ban lãnh đạo</t>
  </si>
  <si>
    <t>Phân tích rủi ro → Tìm kiếm giải pháp → Đề xuất thưởng</t>
  </si>
  <si>
    <t>Truy cứu trách nhiệm → Cảnh báo rủi ro → Tạm dừng công việc</t>
  </si>
  <si>
    <t>Bạn phát hiện bộ phận vận hành đang thực hiện một quy trình sai lệch so với quy chuẩn, có thể dẫn đến sai sót nghiêm trọng về dữ liệu trong quá trình tổng hợp báo cáo. Hành động nào dưới đây là phù hợp nhất để cảnh báo và xử lý kịp thời rủi ro?</t>
  </si>
  <si>
    <t>Chủ động trao đổi với bộ phận vận hành để làm rõ rủi ro, giải thích hậu quả có thể xảy ra, và phối hợp điều chỉnh quy trình theo đúng quy định</t>
  </si>
  <si>
    <t>Gửi email cảnh báo chung cho toàn bộ công ty để tránh sai sót tương tự</t>
  </si>
  <si>
    <t>Báo cáo sự việc lên cấp trên và đề xuất xử lý nội bộ sau khi hoàn tất báo cáo</t>
  </si>
  <si>
    <t>Ghi nhận sự việc vào nhật ký công việc và theo dõi thêm trong các kỳ báo cáo sau</t>
  </si>
  <si>
    <t>Bạn phát hiện một nhóm kinh doanh lưu trữ thông tin khách hàng cá nhân trên thiết bị cá nhân để thuận tiện cho công việc. Cách xử lý nào sau đây thể hiện kỹ năng cảnh báo rủi ro ở mức cơ bản?</t>
  </si>
  <si>
    <t>Trao đổi với nhóm đó và giải thích rằng việc này có thể khiến dữ liệu bị rò rỉ nếu thiết bị cá nhân bị mất hoặc nhiễm mã độc.</t>
  </si>
  <si>
    <t>Đề nghị nhóm đó xoá toàn bộ dữ liệu ngay lập tức mà không cần giải thích lý do.</t>
  </si>
  <si>
    <t>Báo cáo sự việc lên cấp trên để xử lý vi phạm theo quy định của Công ty.</t>
  </si>
  <si>
    <t>Cài phần mềm diệt virus lên thiết bị cá nhân của họ để giảm thiểu nguy cơ.</t>
  </si>
  <si>
    <t>Một bộ phận nghiệp vụ muốn rút ngắn quy trình xét duyệt hồ sơ khách hàng để tăng tốc độ xử lý. Là chuyên viên quản lý rủi ro, bạn nên làm gì để cảnh báo rủi ro có thể phát sinh?</t>
  </si>
  <si>
    <t>Giải thích rằng việc rút ngắn quy trình có thể khiến bỏ sót bước xác minh danh tính, dẫn đến nguy cơ tiếp nhận khách hàng không hợp lệ.</t>
  </si>
  <si>
    <t>Chuyển yêu cầu sang phòng Kiểm soát tuân thủ và Giải pháp Công nghệ thông tin vì họ có trách nhiệm kiểm tra sự tuân thủ các quy trình và quy định.</t>
  </si>
  <si>
    <t>Gửi email nói rằng nếu họ muốn làm vậy thì phải tự chịu trách nhiệm nếu có rủi ro.</t>
  </si>
  <si>
    <t xml:space="preserve">Yêu cầu bộ phận nghiệp vụ ký cam kết bảo mật thông tin để tránh rủi ro. </t>
  </si>
  <si>
    <t>Một đơn vị đề xuất rút ngắn quy trình thẩm định hồ sơ dự án để đẩy nhanh tiến độ. Là chuyên viên Ban HĐQT, bạn cần phản hồi thế nào?</t>
  </si>
  <si>
    <t>Giải thích rõ các rủi ro pháp lý và kiểm soát nếu không tuân thủ đúng quy trình</t>
  </si>
  <si>
    <t>Chuyển đề xuất cho Ban điều hành giải quyết</t>
  </si>
  <si>
    <t>Yêu cầu đơn vị gửi văn bản cam kết không rủi ro</t>
  </si>
  <si>
    <t>Đồng ý nếu việc này giúp tăng hiệu suất</t>
  </si>
  <si>
    <t>Một quy trình vận hành liên quan đến thanh toán hợp đồng thường xuyên phát sinh lỗi nhập liệu khiến đối tác phản ánh về sai sót. Cách tiếp cận nào thể hiện năng lực phân tích và cảnh báo rủi ro đúng cách?</t>
  </si>
  <si>
    <t>Phân tích nguyên nhân sai sót, làm rõ rủi ro phát sinh nếu tiếp tục sai quy trình, và trao đổi rõ ràng với các bên liên quan để cùng điều chỉnh</t>
  </si>
  <si>
    <t>Gửi email xin lỗi đối tác và cam kết sẽ cải thiện trong tương lai</t>
  </si>
  <si>
    <t>Báo cáo sự việc lên cấp trên và đề xuất tạm dừng quy trình để rà soát toàn bộ</t>
  </si>
  <si>
    <t>Chuyển trách nhiệm xử lý cho bộ phận kiểm toán nội bộ</t>
  </si>
  <si>
    <t>Trong quá trình phối hợp triển khai dịch vụ thanh toán hóa đơn (billing), bạn phát hiện một số ngân hàng đối tác chưa thực hiện đúng định dạng chuẩn dữ liệu trong bản tin truyền về, gây sai sót trong đối soát và ảnh hưởng đến chất lượng dịch vụ.
Đâu là cách tiếp cận phù hợp nhất để cảnh báo và hỗ trợ khắc phục rủi ro này?</t>
  </si>
  <si>
    <t>Phân tích nguyên nhân sai lệch dữ liệu, đối chiếu với quy định định dạng chuẩn và gửi cảnh báo chính thức tới các ngân hàng, đồng thời đề xuất hỗ trợ kỹ thuật để giảm rủi ro tái diễn.</t>
  </si>
  <si>
    <t>Báo cáo lãnh đạo để yêu cầu đánh giá lại hiệu quả hợp tác với các ngân hàng có sai sót.</t>
  </si>
  <si>
    <t>Thông báo cho bộ phận vận hành ngừng nhận dữ liệu từ các ngân hàng chưa tuân thủ định dạng chuẩn.</t>
  </si>
  <si>
    <t>Gửi công văn yêu cầu ngân hàng chịu trách nhiệm xử lý sai sót theo hợp đồng đã ký.</t>
  </si>
  <si>
    <t>Bạn phát hiện một biểu mẫu đang sử dụng không còn phù hợp với quy định mới. Bạn nên làm gì?</t>
  </si>
  <si>
    <t>Tư vấn cập nhật biểu mẫu theo quy định mới và phối hợp với các bên liên quan để áp dụng thống nhất</t>
  </si>
  <si>
    <t>Tiếp tục sử dụng vì chưa có hướng dẫn thay thế</t>
  </si>
  <si>
    <t>Tự chỉnh sửa biểu mẫu theo ý mình</t>
  </si>
  <si>
    <t>Chờ đến kỳ rà soát định kỳ để đề xuất</t>
  </si>
  <si>
    <t>Bạn phát hiện trong quy trình mã hóa dữ liệu nhạy cảm tại Công ty, khóa mã hóa được lưu trữ cùng với dữ liệu trong cùng một hệ thống mà không có lớp bảo vệ riêng biệt. Tư vấn đúng nhất để hạn chế rủi ro bảo mật trong trường hợp này là gì?</t>
  </si>
  <si>
    <t>Phân tách lưu trữ khóa mã hóa và dữ liệu, sử dụng hệ thống quản lý khóa chuyên biệt (Key Management System – KMS) với các biện pháp bảo vệ nghiêm ngặt như phân quyền truy cập, ghi nhận nhật ký truy cập.</t>
  </si>
  <si>
    <t>Mã hóa toàn bộ dữ liệu bằng các thuật toán phức tạp hơn và ấn định thời gian thay đổi khoá là 15 năm để đảm bảo an toàn</t>
  </si>
  <si>
    <t xml:space="preserve">Lưu trữ khóa mã hóa dưới dạng mã hóa thêm một lớp nữa trong cùng hệ thống lưu trữ để đảm bảo an toàn </t>
  </si>
  <si>
    <t>Tiếp tục lưu trữ khóa và dữ liệu cùng nơi để thuận tiện cho việc truy xuất và giảm thiểu độ phức tạp trong vận hành.</t>
  </si>
  <si>
    <t>Một dự án hợp tác chuyển đổi số được quyết toán sau khi bên đối tác nước ngoài chậm bàn giao hồ sơ chi tiết chi phí triển khai, dẫn đến hồ sơ tổng hợp thiếu chứng từ gốc. Là người phụ trách kiểm soát rủi ro quyết toán, giải pháp nào là tối ưu?</t>
  </si>
  <si>
    <t>Đề xuất trích lập dự phòng rủi ro đối với nhóm chi phí thiếu chứng từ, đồng thời yêu cầu xác nhận trách nhiệm từ phòng pháp chế và đối tác trước khi đưa vào quyết toán.</t>
  </si>
  <si>
    <t>Đưa toàn bộ chi phí liên quan vào quyết toán, kèm theo cam kết bổ sung hồ sơ sau 30 ngày, nhằm đảm bảo đúng tiến độ nộp báo cáo tổng hợp.</t>
  </si>
  <si>
    <t>Tiến hành quyết toán phần chi phí trong nước, tạm loại phần chi phí chưa đủ chứng từ để tránh trễ tiến độ, và yêu cầu bổ sung sau.</t>
  </si>
  <si>
    <t>Xây dựng hạn mức xác nhận nội bộ cho nhóm chi phí chưa có đủ chứng từ gốc, dựa trên hợp đồng mua và hóa đơn thương mại của đối tác.</t>
  </si>
  <si>
    <t>Một quy trình nội bộ mới được ban hành nhưng chưa được phổ biến rộng rãi. Bạn phát hiện một bộ phận vẫn làm theo quy trình cũ. Bạn nên làm gì?</t>
  </si>
  <si>
    <t>Chủ động trao đổi, giải thích rủi ro và hỗ trợ bộ phận cập nhật quy trình mới</t>
  </si>
  <si>
    <t>Chờ bộ phận phát hiện sai sót và tự điều chỉnh vì việc cập nhật quy trình là trách nhiệm của chính họ</t>
  </si>
  <si>
    <t>Báo cáo ngay lên cấp trên để xử lý trách nhiệm của bộ phận chưa tuân thủ quy trình mới</t>
  </si>
  <si>
    <t>Tiếp tục phối hợp theo quy trình cũ để tránh làm gián đoạn công việc chung của cả hai bên</t>
  </si>
  <si>
    <t>Một trong những biện pháp để hạn chế rủi ro trong quá trình duyệt hồ sơ là:</t>
  </si>
  <si>
    <t>Tư vấn các phòng ban chuẩn bị hồ sơ đầy đủ, đúng quy định trước khi trình</t>
  </si>
  <si>
    <t>Tăng số lượng người ký duyệt</t>
  </si>
  <si>
    <t>Hạn chế đối chiếu thông tin với phòng ban khác</t>
  </si>
  <si>
    <t>Giảm bớt các thủ tục kiểm tra</t>
  </si>
  <si>
    <t>Trong giai đoạn thiết kế hệ thống, bạn phát hiện kiến trúc xác thực hiện tại sử dụng username và password mà không có cơ chế kiểm soát truy cập chi tiết (fine-grained access control). Theo bạn, đâu là giải pháp tư vấn tối ưu để giảm thiểu rủi ro bảo mật cho hệ thống?</t>
  </si>
  <si>
    <t>Đề xuất bổ sung xác thực đa yếu tố (Multi-Factor Authentication – MFA) kết hợp với phân quyền chi tiết dựa trên vai trò (Role-Based Access Control – RBAC) hoặc nguyên tắc tối thiểu quyền (Least Privilege Principle).</t>
  </si>
  <si>
    <t>Giữ nguyên mô hình hiện tại vì việc thêm các yếu tố xác thực và kiểm soát truy cập phức tạp sẽ làm tăng độ trễ và giảm trải nghiệm người dùng.</t>
  </si>
  <si>
    <t>Áp dụng các biện pháp mã hóa dữ liệu đầu cuối (end-to-end encryption) thay vì thay đổi cơ chế xác thực hoặc kiểm soát truy cập vì mã hóa sẽ đảm bảo an toàn dữ liệu.</t>
  </si>
  <si>
    <t>Tăng cường kiểm soát truy cập chi tiết và yêu cầu sử dụng phương thức mã hoá mạnh để mã hoá mật khẩu của người dùng.</t>
  </si>
  <si>
    <t>Trong quá trình chuẩn bị hồ sơ quyết toán một dự án hợp tác BOT, bạn phát hiện chi phí phát sinh cho hạng mục công trình phụ trợ cao hơn 35% so với kế hoạch, do bổ sung theo yêu cầu của đối tác địa phương mà không có văn bản phê duyệt bổ sung. Bạn sẽ chọn cách ứng xử kiểm soát rủi ro nào phù hợp nhất?</t>
  </si>
  <si>
    <t xml:space="preserve">Áp dụng giới hạn kiểm soát chi phí đã được quy định trong hợp đồng, lập biên bản loại bỏ chi phí phát sinh chưa phê duyệt khỏi hồ sơ quyết toán, đồng thời kiến nghị làm rõ trách nhiệm xử lý với bên liên quan. </t>
  </si>
  <si>
    <t>Tạm giữ toàn bộ hồ sơ quyết toán đến khi đối tác cung cấp đủ văn bản, để đảm bảo tránh mọi rủi ro về trách nhiệm pháp lý sau này.</t>
  </si>
  <si>
    <t>Ghi nhận phần chi phí phát sinh vào quyết toán nhưng kèm theo biên bản làm việc với đối tác, thể hiện trách nhiệm hai bên trong việc xác nhận bổ sung.</t>
  </si>
  <si>
    <t>Đề xuất lập quỹ dự phòng quyết toán để trích phần chi phí vượt để tránh ảnh hưởng đến hồ sơ quyết toán chính thức.</t>
  </si>
  <si>
    <t>Trong quá trình phối hợp xây dựng hồ sơ trình Chủ tịch HĐQT về dự án cấp phép mới, bạn nhận thấy đơn vị chưa cung cấp đầy đủ phân tích rủi ro trong quá trình triển khai. Bạn nên làm gì?</t>
  </si>
  <si>
    <t>Đề nghị đơn vị xác định rủi ro, phân tích đánh giá tác động nếu rủi ro xảy ra và đề xuất giải pháp khắc phục. Bạn cần tổng hợp thông tin đầy đủ để hỗ trợ báo cáo CTHĐQT ra quyết định.</t>
  </si>
  <si>
    <t>Tự đánh giá sơ bộ rủi ro dựa trên kinh nghiệm cá nhân và tiếp tục hoàn thiện hồ sơ để đảm bảo tiến độ trình Chủ tịch HĐQT</t>
  </si>
  <si>
    <t>Bỏ qua phần phân tích rủi ro trong hồ sơ vì đây là trách nhiệm của cấp triển khai sau khi dự án được phê duyệt</t>
  </si>
  <si>
    <t>Trình hồ sơ lên Chủ tịch HĐQT kèm ghi chú rằng phân tích rủi ro sẽ được bổ sung sau khi có phản hồi từ lãnh đạo</t>
  </si>
  <si>
    <t>Trong quá trình xây dựng phương án tích hợp dịch vụ thanh toán xác thực eKYC với hệ thống ngân hàng, bạn phát hiện phía ngân hàng đề xuất tích hợp thêm một chức năng định danh nâng cao không nằm trong phạm vi thỏa thuận ban đầu, đồng thời chưa có hồ sơ phê duyệt chính thức từ phía ngân hàng.
Bạn sẽ chọn cách ứng xử kiểm soát rủi ro nào dưới đây là phù hợp nhất?</t>
  </si>
  <si>
    <t>Gửi văn bản chính thức đề nghị ngân hàng cung cấp tài liệu xác nhận, đồng thời báo cáo cấp có thẩm quyền và tư vấn điều chỉnh hồ sơ triển khai theo đúng quy định.</t>
  </si>
  <si>
    <t>Tiếp tục tích hợp chức năng theo yêu cầu mới để không làm chậm tiến độ.</t>
  </si>
  <si>
    <t>Tạm dừng việc triển khai, chờ đến khi ngân hàng hoàn thiện hồ sơ chính thức.</t>
  </si>
  <si>
    <t>Chuyển yêu cầu về phía phòng kỹ thuật tự đánh giá tính khả thi mà không cần ngân hàng xác nhận.</t>
  </si>
  <si>
    <t>Bạn được giao xây dựng hệ thống kiểm soát cho một nền tảng thanh toán điện tử với lưu lượng giao dịch cao. Trong quá trình đánh giá rủi ro, bạn xác định một kịch bản có khả năng xảy ra rất thấp nhưng nếu xảy ra sẽ gây hậu quả nghiêm trọng (ví dụ: tấn công kiểu privilege escalation qua một microservice nội bộ). Cách tiếp cận nào phản ánh đúng vai trò của việc xây dựng tiêu chí và ngưỡng chấp nhận rủi ro?</t>
  </si>
  <si>
    <t>Thiết lập ngưỡng rủi ro ở mức “không chấp nhận” rủi ro, xây dựng kiểm soát bổ sung từ lớp mạng cho đến lớp ứng dụng, đồng thời đề xuất thực hiện tấn công mô phỏng hoặc kiểm thử xâm nhập định kỳ để theo dõi khả năng khai thác của kịch bản này.</t>
  </si>
  <si>
    <t>Đưa rủi ro vào danh sách theo dõi để trình lãnh đạo xem xét định kỳ, đồng thời giữ nguyên các kiểm soát hiện có vì chưa có sự cố thực tế xảy ra.</t>
  </si>
  <si>
    <t>ăng cường log và cảnh báo cho kịch bản này, xem đó là phương án kiểm soát chính để tiết kiệm chi phí triển khai biện pháp phòng ngừa chủ động.</t>
  </si>
  <si>
    <t>Gán mức rủi ro thấp cho kịch bản vì xác suất xảy ra rất thấp, ưu tiên nguồn lực cho các rủi ro phổ biến hơn.</t>
  </si>
  <si>
    <t>Khi xây dựng hệ thống kiểm soát rủi ro cho toàn công ty, điều quan trọng nhất để đảm bảo tính hệ thống là gì?</t>
  </si>
  <si>
    <t>Xây dựng khung tiêu chí chung, tích hợp dữ liệu từ các bộ phận và phân quyền kiểm soát phù hợp</t>
  </si>
  <si>
    <t>Phân tích rủi ro ở từng phòng ban riêng biệt mà không cần chuẩn hóa tiêu chí chung trên toàn công ty</t>
  </si>
  <si>
    <t>Giao toàn bộ quyền kiểm soát rủi ro cho bộ phận tài chính để đảm bảo quản lý chi phí hiệu quả</t>
  </si>
  <si>
    <t>Tập trung xây dựng quy trình xử lý sự cố thay vì đầu tư vào hệ thống kiểm soát và giám sát liên tục</t>
  </si>
  <si>
    <t>Khi xây dựng hệ thống kiểm soát rủi ro, việc xác định “ngưỡng chấp nhận rủi ro” giúp điều gì sau đây?</t>
  </si>
  <si>
    <t>Xác định mức độ rủi ro có thể chấp nhận được trước khi cần hành động</t>
  </si>
  <si>
    <t>Giúp loại bỏ hoàn toàn các rủi ro trong quá trình vận hành hệ thống</t>
  </si>
  <si>
    <t>Dùng để xác định các chỉ tiêu tài chính cho toàn bộ doanh nghiệp</t>
  </si>
  <si>
    <t>Đảm bảo mọi hoạt động đều nằm trong vùng an toàn tuyệt đối</t>
  </si>
  <si>
    <t>Trong một dự án hợp tác công tư (PPP), phía nhà nước yêu cầu các bên liên doanh phải hoàn tất quyết toán giai đoạn 1 với các yêu cầu nâng cao về minh bạch, tuân thủ và ứng dụng công nghệ. Nhóm kế toán trưởng đưa ra 5 đề xuất cải tiến mô hình quản trị rủi ro trong quyết toán:
(1) Xây dựng hệ thống phân tích rủi ro tự động kết hợp dữ liệu kế toán, tiến độ thi công, và hồ sơ chi tiết mua sắm.
(2) Chuyển toàn bộ hồ sơ thanh toán nội bộ sang lưu trữ Blockchain để tăng khả năng truy xuất và đối soát.
(3) Thay đổi phương pháp đánh giá chi phí đầu tư từ phương pháp thực tế sang phương pháp định mức chuẩn do Bộ Tài chính ban hành.
(4) Chỉ định một bên thứ ba độc lập để định kỳ đánh giá sai lệch chi phí và đề xuất phương án điều chỉnh, nếu cần.
(5) Cho phép mỗi bên trong liên doanh áp dụng hệ thống kế toán riêng miễn sao có thể hợp nhất cuối kỳ.
Đâu là tổ hợp cải tiến phù hợp nhất để hỗ trợ mô hình quản trị rủi ro hiệu quả trong quyết toán dự án PPP?</t>
  </si>
  <si>
    <t xml:space="preserve">(1), (2), (4) </t>
  </si>
  <si>
    <t>(1), (3), (5)</t>
  </si>
  <si>
    <t>(2), (4), (5)</t>
  </si>
  <si>
    <t xml:space="preserve">(1), (2), (3), (4), (5) </t>
  </si>
  <si>
    <t>Trong quá trình hỗ trợ Chủ tịch HĐQT đánh giá hoạt động kiểm soát nội bộ, bạn được yêu cầu đề xuất mô hình cảnh báo sớm về rủi ro vận hành. Bạn sẽ:</t>
  </si>
  <si>
    <t>Phối hợp với đơn vị đầu mối có chức năng quản lý rủi ro để thiết lập bộ chỉ báo sớm và định kỳ đánh giá dựa trên dữ liệu lịch sử và nghiệp vụ</t>
  </si>
  <si>
    <t>Đề xuất sử dụng mô hình cũ vì an toàn</t>
  </si>
  <si>
    <t>Giao cho đơn vị kỹ thuật xử lý</t>
  </si>
  <si>
    <t>Sử dụng hệ thống cảnh báo của đối tác không cần điều chỉnh</t>
  </si>
  <si>
    <t>Trong quá trình xây dựng hệ thống đánh giá rủi ro bảo mật cho một hệ thống core, bạn được yêu cầu dự báo rủi ro cho các thành phần sử dụng AI để xử lý dữ liệu đầu vào (ví dụ: xác thực khuôn mặt, phát hiện gian lận). Phương án nào dưới đây phản ánh tốt nhất năng lực xây dựng mô hình dự báo và kiểm soát rủi ro phù hợp?</t>
  </si>
  <si>
    <t>Tích hợp kiểm soát đa lớp bao gồm đánh giá bias trong training data, xác định độ giải thích (explainability) của mô hình, đồng thời gắn cơ chế fallback khi hệ thống AI gặp dữ liệu bất thường.</t>
  </si>
  <si>
    <t>Thiết lập bộ tiêu chí đánh giá dựa trên tính chính xác đầu ra (output accuracy) do AI có thể tự tối ưu logic đầu ra.</t>
  </si>
  <si>
    <t xml:space="preserve">Ưu tiên bảo vệ giao diện tích hợp AI thông qua API gateway và WAF vì đây là nơi tiếp xúc với các mối đe dọa </t>
  </si>
  <si>
    <t>Triển khai chính sách bảo vệ đầu ra của hệ thống AI bằng kỹ thuật watermarking và auditing, từ đó giảm thiểu rò rỉ dữ liệu mà không cần can thiệp vào quá trình huấn luyện mô hình.</t>
  </si>
  <si>
    <t>P36 - Quản trị rủi 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</si>
</sst>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s>
  <cellStyleXfs count="2">
    <xf numFmtId="0" fontId="0" fillId="0" borderId="0"/>
    <xf numFmtId="0" fontId="2" fillId="0" borderId="0"/>
  </cellStyleXfs>
  <cellXfs count="25">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6" fillId="4"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cellXfs>
  <cellStyles count="2">
    <cellStyle name="Normal" xfId="0" builtinId="0"/>
    <cellStyle name="Normal 2" xfId="1" xr:uid="{17F16F5E-965D-40AC-9573-37F3BFECD5A9}"/>
  </cellStyles>
  <dxfs count="1">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2:J96"/>
  <sheetViews>
    <sheetView showGridLines="0" tabSelected="1" topLeftCell="A5" zoomScale="95" zoomScaleNormal="95" workbookViewId="0">
      <selection activeCell="K11" sqref="K11"/>
    </sheetView>
  </sheetViews>
  <sheetFormatPr defaultColWidth="9.08984375" defaultRowHeight="14" outlineLevelRow="1" x14ac:dyDescent="0.35"/>
  <cols>
    <col min="1" max="1" width="2.81640625" style="13" customWidth="1"/>
    <col min="2" max="2" width="7.81640625" style="12" customWidth="1"/>
    <col min="3" max="3" width="9.08984375" style="12"/>
    <col min="4" max="4" width="23.453125" style="13" customWidth="1"/>
    <col min="5" max="5" width="9.08984375" style="12"/>
    <col min="6" max="7" width="45.54296875" style="13" customWidth="1"/>
    <col min="8" max="10" width="45.54296875" style="13" hidden="1" customWidth="1"/>
    <col min="11" max="11" width="9.08984375" style="13"/>
    <col min="12" max="12" width="12.6328125" style="13" customWidth="1"/>
    <col min="13" max="16384" width="9.08984375" style="13"/>
  </cols>
  <sheetData>
    <row r="2" spans="2:10" ht="26.25" customHeight="1" x14ac:dyDescent="0.35">
      <c r="B2" s="14" t="s">
        <v>378</v>
      </c>
    </row>
    <row r="3" spans="2:10" ht="10.15" customHeight="1" x14ac:dyDescent="0.35">
      <c r="B3" s="14"/>
    </row>
    <row r="4" spans="2:10" ht="31.5" customHeight="1" outlineLevel="1" x14ac:dyDescent="0.35">
      <c r="B4" s="14"/>
      <c r="D4" s="18" t="s">
        <v>10</v>
      </c>
      <c r="E4" s="19" t="s">
        <v>11</v>
      </c>
      <c r="F4" s="20">
        <v>1</v>
      </c>
      <c r="G4" s="20">
        <v>2</v>
      </c>
      <c r="H4" s="20">
        <v>3</v>
      </c>
    </row>
    <row r="5" spans="2:10" ht="19.899999999999999" customHeight="1" outlineLevel="1" x14ac:dyDescent="0.35">
      <c r="B5" s="14"/>
      <c r="D5" s="19" t="s">
        <v>11</v>
      </c>
      <c r="E5" s="16">
        <f>SUM(E6:E9)</f>
        <v>74</v>
      </c>
      <c r="F5" s="17">
        <f>SUM(F6:F9)</f>
        <v>25</v>
      </c>
      <c r="G5" s="17">
        <f t="shared" ref="G5:H5" si="0">SUM(G6:G9)</f>
        <v>24</v>
      </c>
      <c r="H5" s="17">
        <f t="shared" si="0"/>
        <v>25</v>
      </c>
    </row>
    <row r="6" spans="2:10" ht="19.899999999999999" customHeight="1" outlineLevel="1" x14ac:dyDescent="0.35">
      <c r="B6" s="14"/>
      <c r="D6" s="20">
        <v>1</v>
      </c>
      <c r="E6" s="17">
        <f>SUM(F6:H6)</f>
        <v>15</v>
      </c>
      <c r="F6" s="21">
        <f>COUNTIFS($E$13:$E$183,$D6,$C$13:$C$183,F$4)</f>
        <v>7</v>
      </c>
      <c r="G6" s="21">
        <f>COUNTIFS($E$13:$E$183,$D6,$C$13:$C$183,G$4)</f>
        <v>4</v>
      </c>
      <c r="H6" s="21">
        <f>COUNTIFS($E$13:$E$183,$D6,$C$13:$C$183,H$4)</f>
        <v>4</v>
      </c>
    </row>
    <row r="7" spans="2:10" ht="19.899999999999999" customHeight="1" outlineLevel="1" x14ac:dyDescent="0.35">
      <c r="B7" s="14"/>
      <c r="D7" s="20">
        <v>2</v>
      </c>
      <c r="E7" s="17">
        <f t="shared" ref="E7:E9" si="1">SUM(F7:H7)</f>
        <v>21</v>
      </c>
      <c r="F7" s="21">
        <f>COUNTIFS($E$13:$E$183,$D7,$C$13:$C$183,F$4)</f>
        <v>7</v>
      </c>
      <c r="G7" s="21">
        <f>COUNTIFS($E$13:$E$183,$D7,$C$13:$C$183,G$4)</f>
        <v>8</v>
      </c>
      <c r="H7" s="21">
        <f>COUNTIFS($E$13:$E$183,$D7,$C$13:$C$183,H$4)</f>
        <v>6</v>
      </c>
    </row>
    <row r="8" spans="2:10" ht="19.899999999999999" customHeight="1" outlineLevel="1" x14ac:dyDescent="0.35">
      <c r="B8" s="14"/>
      <c r="D8" s="20">
        <v>3</v>
      </c>
      <c r="E8" s="17">
        <f t="shared" si="1"/>
        <v>24</v>
      </c>
      <c r="F8" s="21">
        <f>COUNTIFS($E$13:$E$183,$D8,$C$13:$C$183,F$4)</f>
        <v>7</v>
      </c>
      <c r="G8" s="21">
        <f>COUNTIFS($E$13:$E$183,$D8,$C$13:$C$183,G$4)</f>
        <v>8</v>
      </c>
      <c r="H8" s="21">
        <f>COUNTIFS($E$13:$E$183,$D8,$C$13:$C$183,H$4)</f>
        <v>9</v>
      </c>
    </row>
    <row r="9" spans="2:10" ht="19.899999999999999" customHeight="1" outlineLevel="1" x14ac:dyDescent="0.35">
      <c r="B9" s="14"/>
      <c r="D9" s="20">
        <v>4</v>
      </c>
      <c r="E9" s="17">
        <f t="shared" si="1"/>
        <v>14</v>
      </c>
      <c r="F9" s="21">
        <f>COUNTIFS($E$13:$E$183,$D9,$C$13:$C$183,F$4)</f>
        <v>4</v>
      </c>
      <c r="G9" s="21">
        <f>COUNTIFS($E$13:$E$183,$D9,$C$13:$C$183,G$4)</f>
        <v>4</v>
      </c>
      <c r="H9" s="21">
        <f>COUNTIFS($E$13:$E$183,$D9,$C$13:$C$183,H$4)</f>
        <v>6</v>
      </c>
    </row>
    <row r="10" spans="2:10" ht="6.75" customHeight="1" x14ac:dyDescent="0.35"/>
    <row r="11" spans="2:10" ht="19.25" customHeight="1" x14ac:dyDescent="0.35">
      <c r="B11" s="24" t="s">
        <v>0</v>
      </c>
      <c r="C11" s="24" t="s">
        <v>1</v>
      </c>
      <c r="D11" s="24" t="s">
        <v>2</v>
      </c>
      <c r="E11" s="24" t="s">
        <v>3</v>
      </c>
      <c r="F11" s="22" t="s">
        <v>8</v>
      </c>
      <c r="G11" s="23" t="s">
        <v>9</v>
      </c>
      <c r="H11" s="23"/>
      <c r="I11" s="23"/>
      <c r="J11" s="23"/>
    </row>
    <row r="12" spans="2:10" ht="19.25" customHeight="1" x14ac:dyDescent="0.35">
      <c r="B12" s="24"/>
      <c r="C12" s="24"/>
      <c r="D12" s="24"/>
      <c r="E12" s="24"/>
      <c r="F12" s="22"/>
      <c r="G12" s="6" t="s">
        <v>4</v>
      </c>
      <c r="H12" s="6" t="s">
        <v>5</v>
      </c>
      <c r="I12" s="6" t="s">
        <v>6</v>
      </c>
      <c r="J12" s="6" t="s">
        <v>7</v>
      </c>
    </row>
    <row r="13" spans="2:10" s="15" customFormat="1" ht="12" x14ac:dyDescent="0.35">
      <c r="B13" s="4" t="str">
        <f t="shared" ref="B13:J13" si="2">"("&amp;COLUMN()-COLUMN($A$13)&amp;")"</f>
        <v>(1)</v>
      </c>
      <c r="C13" s="4" t="str">
        <f t="shared" si="2"/>
        <v>(2)</v>
      </c>
      <c r="D13" s="4" t="str">
        <f t="shared" si="2"/>
        <v>(3)</v>
      </c>
      <c r="E13" s="4" t="str">
        <f t="shared" si="2"/>
        <v>(4)</v>
      </c>
      <c r="F13" s="4" t="str">
        <f t="shared" si="2"/>
        <v>(5)</v>
      </c>
      <c r="G13" s="4" t="str">
        <f t="shared" si="2"/>
        <v>(6)</v>
      </c>
      <c r="H13" s="4" t="str">
        <f t="shared" si="2"/>
        <v>(7)</v>
      </c>
      <c r="I13" s="4" t="str">
        <f t="shared" si="2"/>
        <v>(8)</v>
      </c>
      <c r="J13" s="4" t="str">
        <f t="shared" si="2"/>
        <v>(9)</v>
      </c>
    </row>
    <row r="14" spans="2:10" ht="50" x14ac:dyDescent="0.35">
      <c r="B14" s="1">
        <f>ROW()-ROW($B$13)</f>
        <v>1</v>
      </c>
      <c r="C14" s="2">
        <v>1</v>
      </c>
      <c r="D14" s="3" t="s">
        <v>12</v>
      </c>
      <c r="E14" s="2">
        <v>1</v>
      </c>
      <c r="F14" s="5" t="s">
        <v>15</v>
      </c>
      <c r="G14" s="9" t="s">
        <v>16</v>
      </c>
      <c r="H14" s="7" t="s">
        <v>17</v>
      </c>
      <c r="I14" s="7" t="s">
        <v>18</v>
      </c>
      <c r="J14" s="7" t="s">
        <v>19</v>
      </c>
    </row>
    <row r="15" spans="2:10" ht="50" x14ac:dyDescent="0.35">
      <c r="B15" s="1">
        <f t="shared" ref="B15:B30" si="3">ROW()-ROW($B$13)</f>
        <v>2</v>
      </c>
      <c r="C15" s="2">
        <v>1</v>
      </c>
      <c r="D15" s="3" t="s">
        <v>12</v>
      </c>
      <c r="E15" s="2">
        <v>1</v>
      </c>
      <c r="F15" s="5" t="s">
        <v>20</v>
      </c>
      <c r="G15" s="10" t="s">
        <v>21</v>
      </c>
      <c r="H15" s="3" t="s">
        <v>22</v>
      </c>
      <c r="I15" s="3" t="s">
        <v>23</v>
      </c>
      <c r="J15" s="3" t="s">
        <v>24</v>
      </c>
    </row>
    <row r="16" spans="2:10" ht="62.5" x14ac:dyDescent="0.35">
      <c r="B16" s="1">
        <f t="shared" si="3"/>
        <v>3</v>
      </c>
      <c r="C16" s="2">
        <v>1</v>
      </c>
      <c r="D16" s="3" t="s">
        <v>12</v>
      </c>
      <c r="E16" s="2">
        <v>1</v>
      </c>
      <c r="F16" s="5" t="s">
        <v>25</v>
      </c>
      <c r="G16" s="10" t="s">
        <v>26</v>
      </c>
      <c r="H16" s="3" t="s">
        <v>27</v>
      </c>
      <c r="I16" s="3" t="s">
        <v>28</v>
      </c>
      <c r="J16" s="3" t="s">
        <v>29</v>
      </c>
    </row>
    <row r="17" spans="2:10" ht="62.5" x14ac:dyDescent="0.35">
      <c r="B17" s="1">
        <f t="shared" si="3"/>
        <v>4</v>
      </c>
      <c r="C17" s="2">
        <v>1</v>
      </c>
      <c r="D17" s="3" t="s">
        <v>12</v>
      </c>
      <c r="E17" s="2">
        <v>1</v>
      </c>
      <c r="F17" s="5" t="s">
        <v>30</v>
      </c>
      <c r="G17" s="10" t="s">
        <v>31</v>
      </c>
      <c r="H17" s="3" t="s">
        <v>32</v>
      </c>
      <c r="I17" s="3" t="s">
        <v>33</v>
      </c>
      <c r="J17" s="3" t="s">
        <v>34</v>
      </c>
    </row>
    <row r="18" spans="2:10" ht="62.5" x14ac:dyDescent="0.35">
      <c r="B18" s="1">
        <f t="shared" si="3"/>
        <v>5</v>
      </c>
      <c r="C18" s="2">
        <v>1</v>
      </c>
      <c r="D18" s="3" t="s">
        <v>12</v>
      </c>
      <c r="E18" s="2">
        <v>1</v>
      </c>
      <c r="F18" s="5" t="s">
        <v>35</v>
      </c>
      <c r="G18" s="10" t="s">
        <v>36</v>
      </c>
      <c r="H18" s="3" t="s">
        <v>37</v>
      </c>
      <c r="I18" s="3" t="s">
        <v>38</v>
      </c>
      <c r="J18" s="3" t="s">
        <v>39</v>
      </c>
    </row>
    <row r="19" spans="2:10" ht="50" x14ac:dyDescent="0.35">
      <c r="B19" s="1">
        <f t="shared" si="3"/>
        <v>6</v>
      </c>
      <c r="C19" s="2">
        <v>1</v>
      </c>
      <c r="D19" s="3" t="s">
        <v>12</v>
      </c>
      <c r="E19" s="2">
        <v>1</v>
      </c>
      <c r="F19" s="5" t="s">
        <v>40</v>
      </c>
      <c r="G19" s="10" t="s">
        <v>41</v>
      </c>
      <c r="H19" s="3" t="s">
        <v>42</v>
      </c>
      <c r="I19" s="3" t="s">
        <v>43</v>
      </c>
      <c r="J19" s="3" t="s">
        <v>44</v>
      </c>
    </row>
    <row r="20" spans="2:10" ht="50" x14ac:dyDescent="0.35">
      <c r="B20" s="1">
        <f t="shared" si="3"/>
        <v>7</v>
      </c>
      <c r="C20" s="2">
        <v>1</v>
      </c>
      <c r="D20" s="3" t="s">
        <v>12</v>
      </c>
      <c r="E20" s="2">
        <v>1</v>
      </c>
      <c r="F20" s="5" t="s">
        <v>45</v>
      </c>
      <c r="G20" s="10" t="s">
        <v>46</v>
      </c>
      <c r="H20" s="3" t="s">
        <v>47</v>
      </c>
      <c r="I20" s="3" t="s">
        <v>48</v>
      </c>
      <c r="J20" s="3" t="s">
        <v>49</v>
      </c>
    </row>
    <row r="21" spans="2:10" ht="100" x14ac:dyDescent="0.35">
      <c r="B21" s="1">
        <f t="shared" si="3"/>
        <v>8</v>
      </c>
      <c r="C21" s="2">
        <v>1</v>
      </c>
      <c r="D21" s="3" t="s">
        <v>12</v>
      </c>
      <c r="E21" s="2">
        <v>2</v>
      </c>
      <c r="F21" s="5" t="s">
        <v>50</v>
      </c>
      <c r="G21" s="10"/>
      <c r="H21" s="3"/>
      <c r="I21" s="3"/>
      <c r="J21" s="3"/>
    </row>
    <row r="22" spans="2:10" ht="50" x14ac:dyDescent="0.35">
      <c r="B22" s="1">
        <f t="shared" si="3"/>
        <v>9</v>
      </c>
      <c r="C22" s="2">
        <v>1</v>
      </c>
      <c r="D22" s="3" t="s">
        <v>12</v>
      </c>
      <c r="E22" s="2">
        <v>2</v>
      </c>
      <c r="F22" s="5" t="s">
        <v>51</v>
      </c>
      <c r="G22" s="11" t="s">
        <v>52</v>
      </c>
      <c r="H22" s="8" t="s">
        <v>53</v>
      </c>
      <c r="I22" s="8" t="s">
        <v>54</v>
      </c>
      <c r="J22" s="8" t="s">
        <v>55</v>
      </c>
    </row>
    <row r="23" spans="2:10" ht="50" x14ac:dyDescent="0.35">
      <c r="B23" s="1">
        <f t="shared" si="3"/>
        <v>10</v>
      </c>
      <c r="C23" s="2">
        <v>1</v>
      </c>
      <c r="D23" s="3" t="s">
        <v>12</v>
      </c>
      <c r="E23" s="2">
        <v>2</v>
      </c>
      <c r="F23" s="5" t="s">
        <v>56</v>
      </c>
      <c r="G23" s="11" t="s">
        <v>57</v>
      </c>
      <c r="H23" s="8" t="s">
        <v>58</v>
      </c>
      <c r="I23" s="8" t="s">
        <v>59</v>
      </c>
      <c r="J23" s="8" t="s">
        <v>60</v>
      </c>
    </row>
    <row r="24" spans="2:10" ht="50" x14ac:dyDescent="0.35">
      <c r="B24" s="1">
        <f t="shared" si="3"/>
        <v>11</v>
      </c>
      <c r="C24" s="2">
        <v>1</v>
      </c>
      <c r="D24" s="3" t="s">
        <v>12</v>
      </c>
      <c r="E24" s="2">
        <v>2</v>
      </c>
      <c r="F24" s="5" t="s">
        <v>61</v>
      </c>
      <c r="G24" s="11" t="s">
        <v>62</v>
      </c>
      <c r="H24" s="8" t="s">
        <v>63</v>
      </c>
      <c r="I24" s="8" t="s">
        <v>64</v>
      </c>
      <c r="J24" s="8" t="s">
        <v>65</v>
      </c>
    </row>
    <row r="25" spans="2:10" ht="50" x14ac:dyDescent="0.35">
      <c r="B25" s="1">
        <f t="shared" si="3"/>
        <v>12</v>
      </c>
      <c r="C25" s="2">
        <v>1</v>
      </c>
      <c r="D25" s="3" t="s">
        <v>12</v>
      </c>
      <c r="E25" s="2">
        <v>2</v>
      </c>
      <c r="F25" s="5" t="s">
        <v>66</v>
      </c>
      <c r="G25" s="10" t="s">
        <v>67</v>
      </c>
      <c r="H25" s="3" t="s">
        <v>68</v>
      </c>
      <c r="I25" s="3" t="s">
        <v>69</v>
      </c>
      <c r="J25" s="3" t="s">
        <v>70</v>
      </c>
    </row>
    <row r="26" spans="2:10" ht="50" x14ac:dyDescent="0.35">
      <c r="B26" s="1">
        <f t="shared" si="3"/>
        <v>13</v>
      </c>
      <c r="C26" s="2">
        <v>1</v>
      </c>
      <c r="D26" s="3" t="s">
        <v>12</v>
      </c>
      <c r="E26" s="2">
        <v>2</v>
      </c>
      <c r="F26" s="5" t="s">
        <v>71</v>
      </c>
      <c r="G26" s="10" t="s">
        <v>72</v>
      </c>
      <c r="H26" s="3" t="s">
        <v>73</v>
      </c>
      <c r="I26" s="3" t="s">
        <v>74</v>
      </c>
      <c r="J26" s="3" t="s">
        <v>75</v>
      </c>
    </row>
    <row r="27" spans="2:10" ht="50" x14ac:dyDescent="0.35">
      <c r="B27" s="1">
        <f t="shared" si="3"/>
        <v>14</v>
      </c>
      <c r="C27" s="2">
        <v>1</v>
      </c>
      <c r="D27" s="3" t="s">
        <v>12</v>
      </c>
      <c r="E27" s="2">
        <v>2</v>
      </c>
      <c r="F27" s="5" t="s">
        <v>76</v>
      </c>
      <c r="G27" s="10" t="s">
        <v>77</v>
      </c>
      <c r="H27" s="3" t="s">
        <v>78</v>
      </c>
      <c r="I27" s="3" t="s">
        <v>79</v>
      </c>
      <c r="J27" s="3" t="s">
        <v>80</v>
      </c>
    </row>
    <row r="28" spans="2:10" ht="50" x14ac:dyDescent="0.35">
      <c r="B28" s="1">
        <f t="shared" si="3"/>
        <v>15</v>
      </c>
      <c r="C28" s="2">
        <v>1</v>
      </c>
      <c r="D28" s="3" t="s">
        <v>12</v>
      </c>
      <c r="E28" s="2">
        <v>3</v>
      </c>
      <c r="F28" s="5" t="s">
        <v>81</v>
      </c>
      <c r="G28" s="10" t="s">
        <v>82</v>
      </c>
      <c r="H28" s="3" t="s">
        <v>83</v>
      </c>
      <c r="I28" s="3" t="s">
        <v>84</v>
      </c>
      <c r="J28" s="3" t="s">
        <v>85</v>
      </c>
    </row>
    <row r="29" spans="2:10" ht="50" x14ac:dyDescent="0.35">
      <c r="B29" s="1">
        <f t="shared" si="3"/>
        <v>16</v>
      </c>
      <c r="C29" s="2">
        <v>1</v>
      </c>
      <c r="D29" s="3" t="s">
        <v>12</v>
      </c>
      <c r="E29" s="2">
        <v>3</v>
      </c>
      <c r="F29" s="5" t="s">
        <v>86</v>
      </c>
      <c r="G29" s="9" t="s">
        <v>87</v>
      </c>
      <c r="H29" s="7" t="s">
        <v>88</v>
      </c>
      <c r="I29" s="7" t="s">
        <v>89</v>
      </c>
      <c r="J29" s="7" t="s">
        <v>90</v>
      </c>
    </row>
    <row r="30" spans="2:10" ht="62.5" x14ac:dyDescent="0.35">
      <c r="B30" s="1">
        <f t="shared" si="3"/>
        <v>17</v>
      </c>
      <c r="C30" s="2">
        <v>1</v>
      </c>
      <c r="D30" s="3" t="s">
        <v>12</v>
      </c>
      <c r="E30" s="2">
        <v>3</v>
      </c>
      <c r="F30" s="5" t="s">
        <v>91</v>
      </c>
      <c r="G30" s="10" t="s">
        <v>92</v>
      </c>
      <c r="H30" s="3" t="s">
        <v>93</v>
      </c>
      <c r="I30" s="3" t="s">
        <v>94</v>
      </c>
      <c r="J30" s="3" t="s">
        <v>95</v>
      </c>
    </row>
    <row r="31" spans="2:10" ht="162.5" x14ac:dyDescent="0.35">
      <c r="B31" s="1">
        <f>ROW()-ROW($B$13)</f>
        <v>18</v>
      </c>
      <c r="C31" s="2">
        <v>1</v>
      </c>
      <c r="D31" s="3" t="s">
        <v>12</v>
      </c>
      <c r="E31" s="2">
        <v>3</v>
      </c>
      <c r="F31" s="5" t="s">
        <v>96</v>
      </c>
      <c r="G31" s="9" t="s">
        <v>97</v>
      </c>
      <c r="H31" s="7" t="s">
        <v>98</v>
      </c>
      <c r="I31" s="7" t="s">
        <v>99</v>
      </c>
      <c r="J31" s="7" t="s">
        <v>100</v>
      </c>
    </row>
    <row r="32" spans="2:10" ht="62.5" x14ac:dyDescent="0.35">
      <c r="B32" s="1">
        <f t="shared" ref="B32:B44" si="4">ROW()-ROW($B$13)</f>
        <v>19</v>
      </c>
      <c r="C32" s="2">
        <v>1</v>
      </c>
      <c r="D32" s="3" t="s">
        <v>12</v>
      </c>
      <c r="E32" s="2">
        <v>3</v>
      </c>
      <c r="F32" s="5" t="s">
        <v>101</v>
      </c>
      <c r="G32" s="10" t="s">
        <v>102</v>
      </c>
      <c r="H32" s="3" t="s">
        <v>103</v>
      </c>
      <c r="I32" s="3" t="s">
        <v>104</v>
      </c>
      <c r="J32" s="3" t="s">
        <v>105</v>
      </c>
    </row>
    <row r="33" spans="2:10" ht="75" x14ac:dyDescent="0.35">
      <c r="B33" s="1">
        <f t="shared" si="4"/>
        <v>20</v>
      </c>
      <c r="C33" s="2">
        <v>1</v>
      </c>
      <c r="D33" s="3" t="s">
        <v>12</v>
      </c>
      <c r="E33" s="2">
        <v>3</v>
      </c>
      <c r="F33" s="5" t="s">
        <v>106</v>
      </c>
      <c r="G33" s="10" t="s">
        <v>107</v>
      </c>
      <c r="H33" s="3" t="s">
        <v>108</v>
      </c>
      <c r="I33" s="3" t="s">
        <v>109</v>
      </c>
      <c r="J33" s="3" t="s">
        <v>110</v>
      </c>
    </row>
    <row r="34" spans="2:10" ht="87.5" x14ac:dyDescent="0.35">
      <c r="B34" s="1">
        <f t="shared" si="4"/>
        <v>21</v>
      </c>
      <c r="C34" s="2">
        <v>1</v>
      </c>
      <c r="D34" s="3" t="s">
        <v>12</v>
      </c>
      <c r="E34" s="2">
        <v>3</v>
      </c>
      <c r="F34" s="5" t="s">
        <v>111</v>
      </c>
      <c r="G34" s="10" t="s">
        <v>112</v>
      </c>
      <c r="H34" s="3" t="s">
        <v>113</v>
      </c>
      <c r="I34" s="3" t="s">
        <v>114</v>
      </c>
      <c r="J34" s="3" t="s">
        <v>115</v>
      </c>
    </row>
    <row r="35" spans="2:10" ht="50" x14ac:dyDescent="0.35">
      <c r="B35" s="1">
        <f t="shared" si="4"/>
        <v>22</v>
      </c>
      <c r="C35" s="2">
        <v>1</v>
      </c>
      <c r="D35" s="3" t="s">
        <v>12</v>
      </c>
      <c r="E35" s="2">
        <v>4</v>
      </c>
      <c r="F35" s="5" t="s">
        <v>116</v>
      </c>
      <c r="G35" s="10" t="s">
        <v>117</v>
      </c>
      <c r="H35" s="3" t="s">
        <v>118</v>
      </c>
      <c r="I35" s="3" t="s">
        <v>119</v>
      </c>
      <c r="J35" s="3" t="s">
        <v>120</v>
      </c>
    </row>
    <row r="36" spans="2:10" ht="50" x14ac:dyDescent="0.35">
      <c r="B36" s="1">
        <f t="shared" si="4"/>
        <v>23</v>
      </c>
      <c r="C36" s="2">
        <v>1</v>
      </c>
      <c r="D36" s="3" t="s">
        <v>12</v>
      </c>
      <c r="E36" s="2">
        <v>4</v>
      </c>
      <c r="F36" s="5" t="s">
        <v>121</v>
      </c>
      <c r="G36" s="10" t="s">
        <v>122</v>
      </c>
      <c r="H36" s="3" t="s">
        <v>123</v>
      </c>
      <c r="I36" s="3" t="s">
        <v>124</v>
      </c>
      <c r="J36" s="3" t="s">
        <v>125</v>
      </c>
    </row>
    <row r="37" spans="2:10" ht="87.5" x14ac:dyDescent="0.35">
      <c r="B37" s="1">
        <f t="shared" si="4"/>
        <v>24</v>
      </c>
      <c r="C37" s="2">
        <v>1</v>
      </c>
      <c r="D37" s="3" t="s">
        <v>12</v>
      </c>
      <c r="E37" s="2">
        <v>4</v>
      </c>
      <c r="F37" s="5" t="s">
        <v>126</v>
      </c>
      <c r="G37" s="11" t="s">
        <v>127</v>
      </c>
      <c r="H37" s="8" t="s">
        <v>128</v>
      </c>
      <c r="I37" s="8" t="s">
        <v>129</v>
      </c>
      <c r="J37" s="8" t="s">
        <v>130</v>
      </c>
    </row>
    <row r="38" spans="2:10" ht="50" x14ac:dyDescent="0.35">
      <c r="B38" s="1">
        <f t="shared" si="4"/>
        <v>25</v>
      </c>
      <c r="C38" s="2">
        <v>1</v>
      </c>
      <c r="D38" s="3" t="s">
        <v>12</v>
      </c>
      <c r="E38" s="2">
        <v>4</v>
      </c>
      <c r="F38" s="5" t="s">
        <v>131</v>
      </c>
      <c r="G38" s="11" t="s">
        <v>132</v>
      </c>
      <c r="H38" s="8" t="s">
        <v>133</v>
      </c>
      <c r="I38" s="8" t="s">
        <v>134</v>
      </c>
      <c r="J38" s="8" t="s">
        <v>135</v>
      </c>
    </row>
    <row r="39" spans="2:10" ht="50" x14ac:dyDescent="0.35">
      <c r="B39" s="1">
        <f t="shared" si="4"/>
        <v>26</v>
      </c>
      <c r="C39" s="2">
        <v>2</v>
      </c>
      <c r="D39" s="3" t="s">
        <v>13</v>
      </c>
      <c r="E39" s="2">
        <v>1</v>
      </c>
      <c r="F39" s="5" t="s">
        <v>136</v>
      </c>
      <c r="G39" s="11" t="s">
        <v>137</v>
      </c>
      <c r="H39" s="8" t="s">
        <v>138</v>
      </c>
      <c r="I39" s="8" t="s">
        <v>139</v>
      </c>
      <c r="J39" s="8" t="s">
        <v>140</v>
      </c>
    </row>
    <row r="40" spans="2:10" ht="87.5" x14ac:dyDescent="0.35">
      <c r="B40" s="1">
        <f t="shared" si="4"/>
        <v>27</v>
      </c>
      <c r="C40" s="2">
        <v>2</v>
      </c>
      <c r="D40" s="3" t="s">
        <v>13</v>
      </c>
      <c r="E40" s="2">
        <v>1</v>
      </c>
      <c r="F40" s="5" t="s">
        <v>141</v>
      </c>
      <c r="G40" s="10" t="s">
        <v>142</v>
      </c>
      <c r="H40" s="3" t="s">
        <v>38</v>
      </c>
      <c r="I40" s="3" t="s">
        <v>143</v>
      </c>
      <c r="J40" s="3" t="s">
        <v>39</v>
      </c>
    </row>
    <row r="41" spans="2:10" ht="112.5" x14ac:dyDescent="0.35">
      <c r="B41" s="1">
        <f t="shared" si="4"/>
        <v>28</v>
      </c>
      <c r="C41" s="2">
        <v>2</v>
      </c>
      <c r="D41" s="3" t="s">
        <v>13</v>
      </c>
      <c r="E41" s="2">
        <v>1</v>
      </c>
      <c r="F41" s="5" t="s">
        <v>144</v>
      </c>
      <c r="G41" s="10" t="s">
        <v>145</v>
      </c>
      <c r="H41" s="3" t="s">
        <v>146</v>
      </c>
      <c r="I41" s="3" t="s">
        <v>147</v>
      </c>
      <c r="J41" s="3" t="s">
        <v>37</v>
      </c>
    </row>
    <row r="42" spans="2:10" ht="125" x14ac:dyDescent="0.35">
      <c r="B42" s="1">
        <f t="shared" si="4"/>
        <v>29</v>
      </c>
      <c r="C42" s="2">
        <v>2</v>
      </c>
      <c r="D42" s="3" t="s">
        <v>13</v>
      </c>
      <c r="E42" s="2">
        <v>1</v>
      </c>
      <c r="F42" s="5" t="s">
        <v>148</v>
      </c>
      <c r="G42" s="10" t="s">
        <v>149</v>
      </c>
      <c r="H42" s="3" t="s">
        <v>150</v>
      </c>
      <c r="I42" s="3" t="s">
        <v>151</v>
      </c>
      <c r="J42" s="3" t="s">
        <v>152</v>
      </c>
    </row>
    <row r="43" spans="2:10" ht="50" x14ac:dyDescent="0.35">
      <c r="B43" s="1">
        <f t="shared" si="4"/>
        <v>30</v>
      </c>
      <c r="C43" s="2">
        <v>2</v>
      </c>
      <c r="D43" s="3" t="s">
        <v>13</v>
      </c>
      <c r="E43" s="2">
        <v>2</v>
      </c>
      <c r="F43" s="5" t="s">
        <v>153</v>
      </c>
      <c r="G43" s="10" t="s">
        <v>154</v>
      </c>
      <c r="H43" s="3" t="s">
        <v>155</v>
      </c>
      <c r="I43" s="3" t="s">
        <v>156</v>
      </c>
      <c r="J43" s="3" t="s">
        <v>157</v>
      </c>
    </row>
    <row r="44" spans="2:10" ht="62.5" x14ac:dyDescent="0.35">
      <c r="B44" s="1">
        <f t="shared" si="4"/>
        <v>31</v>
      </c>
      <c r="C44" s="2">
        <v>2</v>
      </c>
      <c r="D44" s="3" t="s">
        <v>13</v>
      </c>
      <c r="E44" s="2">
        <v>2</v>
      </c>
      <c r="F44" s="5" t="s">
        <v>158</v>
      </c>
      <c r="G44" s="10" t="s">
        <v>159</v>
      </c>
      <c r="H44" s="3" t="s">
        <v>160</v>
      </c>
      <c r="I44" s="3" t="s">
        <v>161</v>
      </c>
      <c r="J44" s="3" t="s">
        <v>162</v>
      </c>
    </row>
    <row r="45" spans="2:10" ht="62.5" x14ac:dyDescent="0.35">
      <c r="B45" s="1">
        <f>ROW()-ROW($B$13)</f>
        <v>32</v>
      </c>
      <c r="C45" s="2">
        <v>2</v>
      </c>
      <c r="D45" s="3" t="s">
        <v>13</v>
      </c>
      <c r="E45" s="2">
        <v>2</v>
      </c>
      <c r="F45" s="5" t="s">
        <v>163</v>
      </c>
      <c r="G45" s="9" t="s">
        <v>164</v>
      </c>
      <c r="H45" s="7" t="s">
        <v>165</v>
      </c>
      <c r="I45" s="7" t="s">
        <v>166</v>
      </c>
      <c r="J45" s="7" t="s">
        <v>167</v>
      </c>
    </row>
    <row r="46" spans="2:10" ht="50" x14ac:dyDescent="0.35">
      <c r="B46" s="1">
        <f t="shared" ref="B46:B62" si="5">ROW()-ROW($B$13)</f>
        <v>33</v>
      </c>
      <c r="C46" s="2">
        <v>2</v>
      </c>
      <c r="D46" s="3" t="s">
        <v>13</v>
      </c>
      <c r="E46" s="2">
        <v>2</v>
      </c>
      <c r="F46" s="5" t="s">
        <v>168</v>
      </c>
      <c r="G46" s="10" t="s">
        <v>169</v>
      </c>
      <c r="H46" s="3" t="s">
        <v>170</v>
      </c>
      <c r="I46" s="3" t="s">
        <v>171</v>
      </c>
      <c r="J46" s="3" t="s">
        <v>172</v>
      </c>
    </row>
    <row r="47" spans="2:10" ht="50" x14ac:dyDescent="0.35">
      <c r="B47" s="1">
        <f t="shared" si="5"/>
        <v>34</v>
      </c>
      <c r="C47" s="2">
        <v>2</v>
      </c>
      <c r="D47" s="3" t="s">
        <v>13</v>
      </c>
      <c r="E47" s="2">
        <v>2</v>
      </c>
      <c r="F47" s="5" t="s">
        <v>173</v>
      </c>
      <c r="G47" s="10" t="s">
        <v>174</v>
      </c>
      <c r="H47" s="3" t="s">
        <v>175</v>
      </c>
      <c r="I47" s="3" t="s">
        <v>176</v>
      </c>
      <c r="J47" s="3" t="s">
        <v>177</v>
      </c>
    </row>
    <row r="48" spans="2:10" ht="50" x14ac:dyDescent="0.35">
      <c r="B48" s="1">
        <f t="shared" si="5"/>
        <v>35</v>
      </c>
      <c r="C48" s="2">
        <v>2</v>
      </c>
      <c r="D48" s="3" t="s">
        <v>13</v>
      </c>
      <c r="E48" s="2">
        <v>2</v>
      </c>
      <c r="F48" s="5" t="s">
        <v>178</v>
      </c>
      <c r="G48" s="10" t="s">
        <v>179</v>
      </c>
      <c r="H48" s="3" t="s">
        <v>180</v>
      </c>
      <c r="I48" s="3" t="s">
        <v>181</v>
      </c>
      <c r="J48" s="3" t="s">
        <v>182</v>
      </c>
    </row>
    <row r="49" spans="2:10" ht="100" x14ac:dyDescent="0.35">
      <c r="B49" s="1">
        <f t="shared" si="5"/>
        <v>36</v>
      </c>
      <c r="C49" s="2">
        <v>2</v>
      </c>
      <c r="D49" s="3" t="s">
        <v>13</v>
      </c>
      <c r="E49" s="2">
        <v>2</v>
      </c>
      <c r="F49" s="5" t="s">
        <v>183</v>
      </c>
      <c r="G49" s="10" t="s">
        <v>184</v>
      </c>
      <c r="H49" s="3" t="s">
        <v>185</v>
      </c>
      <c r="I49" s="3" t="s">
        <v>186</v>
      </c>
      <c r="J49" s="3" t="s">
        <v>187</v>
      </c>
    </row>
    <row r="50" spans="2:10" ht="50" x14ac:dyDescent="0.35">
      <c r="B50" s="1">
        <f t="shared" si="5"/>
        <v>37</v>
      </c>
      <c r="C50" s="2">
        <v>2</v>
      </c>
      <c r="D50" s="3" t="s">
        <v>13</v>
      </c>
      <c r="E50" s="2">
        <v>2</v>
      </c>
      <c r="F50" s="5" t="s">
        <v>188</v>
      </c>
      <c r="G50" s="10" t="s">
        <v>189</v>
      </c>
      <c r="H50" s="3" t="s">
        <v>190</v>
      </c>
      <c r="I50" s="3" t="s">
        <v>191</v>
      </c>
      <c r="J50" s="3" t="s">
        <v>192</v>
      </c>
    </row>
    <row r="51" spans="2:10" ht="50" x14ac:dyDescent="0.35">
      <c r="B51" s="1">
        <f t="shared" si="5"/>
        <v>38</v>
      </c>
      <c r="C51" s="2">
        <v>2</v>
      </c>
      <c r="D51" s="3" t="s">
        <v>13</v>
      </c>
      <c r="E51" s="2">
        <v>3</v>
      </c>
      <c r="F51" s="5" t="s">
        <v>193</v>
      </c>
      <c r="G51" s="10" t="s">
        <v>194</v>
      </c>
      <c r="H51" s="3" t="s">
        <v>195</v>
      </c>
      <c r="I51" s="3" t="s">
        <v>196</v>
      </c>
      <c r="J51" s="3" t="s">
        <v>197</v>
      </c>
    </row>
    <row r="52" spans="2:10" ht="50" x14ac:dyDescent="0.35">
      <c r="B52" s="1">
        <f t="shared" si="5"/>
        <v>39</v>
      </c>
      <c r="C52" s="2">
        <v>2</v>
      </c>
      <c r="D52" s="3" t="s">
        <v>13</v>
      </c>
      <c r="E52" s="2">
        <v>3</v>
      </c>
      <c r="F52" s="5" t="s">
        <v>198</v>
      </c>
      <c r="G52" s="10" t="s">
        <v>199</v>
      </c>
      <c r="H52" s="3" t="s">
        <v>200</v>
      </c>
      <c r="I52" s="3" t="s">
        <v>201</v>
      </c>
      <c r="J52" s="3" t="s">
        <v>202</v>
      </c>
    </row>
    <row r="53" spans="2:10" ht="50" x14ac:dyDescent="0.35">
      <c r="B53" s="1">
        <f t="shared" si="5"/>
        <v>40</v>
      </c>
      <c r="C53" s="2">
        <v>2</v>
      </c>
      <c r="D53" s="3" t="s">
        <v>13</v>
      </c>
      <c r="E53" s="2">
        <v>3</v>
      </c>
      <c r="F53" s="5" t="s">
        <v>203</v>
      </c>
      <c r="G53" s="11" t="s">
        <v>204</v>
      </c>
      <c r="H53" s="8" t="s">
        <v>205</v>
      </c>
      <c r="I53" s="8" t="s">
        <v>206</v>
      </c>
      <c r="J53" s="8" t="s">
        <v>207</v>
      </c>
    </row>
    <row r="54" spans="2:10" ht="87.5" x14ac:dyDescent="0.35">
      <c r="B54" s="1">
        <f t="shared" si="5"/>
        <v>41</v>
      </c>
      <c r="C54" s="2">
        <v>2</v>
      </c>
      <c r="D54" s="3" t="s">
        <v>13</v>
      </c>
      <c r="E54" s="2">
        <v>3</v>
      </c>
      <c r="F54" s="5" t="s">
        <v>208</v>
      </c>
      <c r="G54" s="11" t="s">
        <v>209</v>
      </c>
      <c r="H54" s="8" t="s">
        <v>210</v>
      </c>
      <c r="I54" s="8" t="s">
        <v>211</v>
      </c>
      <c r="J54" s="8" t="s">
        <v>212</v>
      </c>
    </row>
    <row r="55" spans="2:10" ht="50" x14ac:dyDescent="0.35">
      <c r="B55" s="1">
        <f t="shared" si="5"/>
        <v>42</v>
      </c>
      <c r="C55" s="2">
        <v>2</v>
      </c>
      <c r="D55" s="3" t="s">
        <v>13</v>
      </c>
      <c r="E55" s="2">
        <v>3</v>
      </c>
      <c r="F55" s="5" t="s">
        <v>213</v>
      </c>
      <c r="G55" s="11" t="s">
        <v>214</v>
      </c>
      <c r="H55" s="8" t="s">
        <v>215</v>
      </c>
      <c r="I55" s="8" t="s">
        <v>216</v>
      </c>
      <c r="J55" s="8" t="s">
        <v>217</v>
      </c>
    </row>
    <row r="56" spans="2:10" ht="62.5" x14ac:dyDescent="0.35">
      <c r="B56" s="1">
        <f t="shared" si="5"/>
        <v>43</v>
      </c>
      <c r="C56" s="2">
        <v>2</v>
      </c>
      <c r="D56" s="3" t="s">
        <v>13</v>
      </c>
      <c r="E56" s="2">
        <v>3</v>
      </c>
      <c r="F56" s="5" t="s">
        <v>218</v>
      </c>
      <c r="G56" s="11" t="s">
        <v>219</v>
      </c>
      <c r="H56" s="8" t="s">
        <v>220</v>
      </c>
      <c r="I56" s="8" t="s">
        <v>221</v>
      </c>
      <c r="J56" s="8" t="s">
        <v>222</v>
      </c>
    </row>
    <row r="57" spans="2:10" ht="50" x14ac:dyDescent="0.35">
      <c r="B57" s="1">
        <f t="shared" si="5"/>
        <v>44</v>
      </c>
      <c r="C57" s="2">
        <v>2</v>
      </c>
      <c r="D57" s="3" t="s">
        <v>13</v>
      </c>
      <c r="E57" s="2">
        <v>3</v>
      </c>
      <c r="F57" s="5" t="s">
        <v>223</v>
      </c>
      <c r="G57" s="10" t="s">
        <v>224</v>
      </c>
      <c r="H57" s="3" t="s">
        <v>225</v>
      </c>
      <c r="I57" s="3" t="s">
        <v>226</v>
      </c>
      <c r="J57" s="3" t="s">
        <v>227</v>
      </c>
    </row>
    <row r="58" spans="2:10" ht="62.5" x14ac:dyDescent="0.35">
      <c r="B58" s="1">
        <f t="shared" si="5"/>
        <v>45</v>
      </c>
      <c r="C58" s="2">
        <v>2</v>
      </c>
      <c r="D58" s="3" t="s">
        <v>13</v>
      </c>
      <c r="E58" s="2">
        <v>3</v>
      </c>
      <c r="F58" s="5" t="s">
        <v>228</v>
      </c>
      <c r="G58" s="10" t="s">
        <v>229</v>
      </c>
      <c r="H58" s="3" t="s">
        <v>230</v>
      </c>
      <c r="I58" s="3" t="s">
        <v>231</v>
      </c>
      <c r="J58" s="3" t="s">
        <v>232</v>
      </c>
    </row>
    <row r="59" spans="2:10" ht="62.5" x14ac:dyDescent="0.35">
      <c r="B59" s="1">
        <f t="shared" si="5"/>
        <v>46</v>
      </c>
      <c r="C59" s="2">
        <v>2</v>
      </c>
      <c r="D59" s="3" t="s">
        <v>13</v>
      </c>
      <c r="E59" s="2">
        <v>4</v>
      </c>
      <c r="F59" s="5" t="s">
        <v>233</v>
      </c>
      <c r="G59" s="10" t="s">
        <v>234</v>
      </c>
      <c r="H59" s="3" t="s">
        <v>235</v>
      </c>
      <c r="I59" s="3" t="s">
        <v>236</v>
      </c>
      <c r="J59" s="3" t="s">
        <v>237</v>
      </c>
    </row>
    <row r="60" spans="2:10" ht="75" x14ac:dyDescent="0.35">
      <c r="B60" s="1">
        <f t="shared" si="5"/>
        <v>47</v>
      </c>
      <c r="C60" s="2">
        <v>2</v>
      </c>
      <c r="D60" s="3" t="s">
        <v>13</v>
      </c>
      <c r="E60" s="2">
        <v>4</v>
      </c>
      <c r="F60" s="5" t="s">
        <v>238</v>
      </c>
      <c r="G60" s="9" t="s">
        <v>239</v>
      </c>
      <c r="H60" s="7" t="s">
        <v>240</v>
      </c>
      <c r="I60" s="7" t="s">
        <v>241</v>
      </c>
      <c r="J60" s="7" t="s">
        <v>242</v>
      </c>
    </row>
    <row r="61" spans="2:10" ht="50" x14ac:dyDescent="0.35">
      <c r="B61" s="1">
        <f t="shared" si="5"/>
        <v>48</v>
      </c>
      <c r="C61" s="2">
        <v>2</v>
      </c>
      <c r="D61" s="3" t="s">
        <v>13</v>
      </c>
      <c r="E61" s="2">
        <v>4</v>
      </c>
      <c r="F61" s="5" t="s">
        <v>243</v>
      </c>
      <c r="G61" s="10" t="s">
        <v>244</v>
      </c>
      <c r="H61" s="3" t="s">
        <v>245</v>
      </c>
      <c r="I61" s="3" t="s">
        <v>246</v>
      </c>
      <c r="J61" s="3" t="s">
        <v>247</v>
      </c>
    </row>
    <row r="62" spans="2:10" ht="50" x14ac:dyDescent="0.35">
      <c r="B62" s="1">
        <f t="shared" si="5"/>
        <v>49</v>
      </c>
      <c r="C62" s="2">
        <v>2</v>
      </c>
      <c r="D62" s="3" t="s">
        <v>13</v>
      </c>
      <c r="E62" s="2">
        <v>4</v>
      </c>
      <c r="F62" s="5" t="s">
        <v>248</v>
      </c>
      <c r="G62" s="10" t="s">
        <v>249</v>
      </c>
      <c r="H62" s="3" t="s">
        <v>250</v>
      </c>
      <c r="I62" s="3" t="s">
        <v>251</v>
      </c>
      <c r="J62" s="3" t="s">
        <v>252</v>
      </c>
    </row>
    <row r="63" spans="2:10" ht="62.5" x14ac:dyDescent="0.35">
      <c r="B63" s="1">
        <f>ROW()-ROW($B$13)</f>
        <v>50</v>
      </c>
      <c r="C63" s="2">
        <v>3</v>
      </c>
      <c r="D63" s="3" t="s">
        <v>14</v>
      </c>
      <c r="E63" s="2">
        <v>1</v>
      </c>
      <c r="F63" s="5" t="s">
        <v>253</v>
      </c>
      <c r="G63" s="9" t="s">
        <v>254</v>
      </c>
      <c r="H63" s="7" t="s">
        <v>255</v>
      </c>
      <c r="I63" s="7" t="s">
        <v>256</v>
      </c>
      <c r="J63" s="7" t="s">
        <v>257</v>
      </c>
    </row>
    <row r="64" spans="2:10" ht="62.5" x14ac:dyDescent="0.35">
      <c r="B64" s="1">
        <f t="shared" ref="B64:B96" si="6">ROW()-ROW($B$13)</f>
        <v>51</v>
      </c>
      <c r="C64" s="2">
        <v>3</v>
      </c>
      <c r="D64" s="3" t="s">
        <v>14</v>
      </c>
      <c r="E64" s="2">
        <v>1</v>
      </c>
      <c r="F64" s="5" t="s">
        <v>258</v>
      </c>
      <c r="G64" s="10" t="s">
        <v>259</v>
      </c>
      <c r="H64" s="3" t="s">
        <v>260</v>
      </c>
      <c r="I64" s="3" t="s">
        <v>261</v>
      </c>
      <c r="J64" s="3" t="s">
        <v>262</v>
      </c>
    </row>
    <row r="65" spans="2:10" ht="62.5" x14ac:dyDescent="0.35">
      <c r="B65" s="1">
        <f t="shared" si="6"/>
        <v>52</v>
      </c>
      <c r="C65" s="2">
        <v>3</v>
      </c>
      <c r="D65" s="3" t="s">
        <v>14</v>
      </c>
      <c r="E65" s="2">
        <v>1</v>
      </c>
      <c r="F65" s="5" t="s">
        <v>263</v>
      </c>
      <c r="G65" s="10" t="s">
        <v>264</v>
      </c>
      <c r="H65" s="3" t="s">
        <v>265</v>
      </c>
      <c r="I65" s="3" t="s">
        <v>266</v>
      </c>
      <c r="J65" s="3" t="s">
        <v>267</v>
      </c>
    </row>
    <row r="66" spans="2:10" ht="62.5" x14ac:dyDescent="0.35">
      <c r="B66" s="1">
        <f t="shared" si="6"/>
        <v>53</v>
      </c>
      <c r="C66" s="2">
        <v>3</v>
      </c>
      <c r="D66" s="3" t="s">
        <v>14</v>
      </c>
      <c r="E66" s="2">
        <v>1</v>
      </c>
      <c r="F66" s="5" t="s">
        <v>268</v>
      </c>
      <c r="G66" s="10" t="s">
        <v>269</v>
      </c>
      <c r="H66" s="3" t="s">
        <v>270</v>
      </c>
      <c r="I66" s="3" t="s">
        <v>271</v>
      </c>
      <c r="J66" s="3" t="s">
        <v>272</v>
      </c>
    </row>
    <row r="67" spans="2:10" ht="62.5" x14ac:dyDescent="0.35">
      <c r="B67" s="1">
        <f t="shared" si="6"/>
        <v>54</v>
      </c>
      <c r="C67" s="2">
        <v>3</v>
      </c>
      <c r="D67" s="3" t="s">
        <v>14</v>
      </c>
      <c r="E67" s="2">
        <v>2</v>
      </c>
      <c r="F67" s="5" t="s">
        <v>273</v>
      </c>
      <c r="G67" s="10" t="s">
        <v>274</v>
      </c>
      <c r="H67" s="3" t="s">
        <v>275</v>
      </c>
      <c r="I67" s="3" t="s">
        <v>276</v>
      </c>
      <c r="J67" s="3" t="s">
        <v>277</v>
      </c>
    </row>
    <row r="68" spans="2:10" ht="62.5" x14ac:dyDescent="0.35">
      <c r="B68" s="1">
        <f t="shared" si="6"/>
        <v>55</v>
      </c>
      <c r="C68" s="2">
        <v>3</v>
      </c>
      <c r="D68" s="3" t="s">
        <v>14</v>
      </c>
      <c r="E68" s="2">
        <v>2</v>
      </c>
      <c r="F68" s="5" t="s">
        <v>278</v>
      </c>
      <c r="G68" s="10" t="s">
        <v>279</v>
      </c>
      <c r="H68" s="3" t="s">
        <v>280</v>
      </c>
      <c r="I68" s="3" t="s">
        <v>281</v>
      </c>
      <c r="J68" s="3" t="s">
        <v>282</v>
      </c>
    </row>
    <row r="69" spans="2:10" ht="62.5" x14ac:dyDescent="0.35">
      <c r="B69" s="1">
        <f t="shared" si="6"/>
        <v>56</v>
      </c>
      <c r="C69" s="2">
        <v>3</v>
      </c>
      <c r="D69" s="3" t="s">
        <v>14</v>
      </c>
      <c r="E69" s="2">
        <v>2</v>
      </c>
      <c r="F69" s="5" t="s">
        <v>283</v>
      </c>
      <c r="G69" s="10" t="s">
        <v>284</v>
      </c>
      <c r="H69" s="3" t="s">
        <v>285</v>
      </c>
      <c r="I69" s="3" t="s">
        <v>286</v>
      </c>
      <c r="J69" s="3" t="s">
        <v>287</v>
      </c>
    </row>
    <row r="70" spans="2:10" ht="62.5" x14ac:dyDescent="0.35">
      <c r="B70" s="1">
        <f t="shared" si="6"/>
        <v>57</v>
      </c>
      <c r="C70" s="2">
        <v>3</v>
      </c>
      <c r="D70" s="3" t="s">
        <v>14</v>
      </c>
      <c r="E70" s="2">
        <v>2</v>
      </c>
      <c r="F70" s="5" t="s">
        <v>288</v>
      </c>
      <c r="G70" s="11" t="s">
        <v>289</v>
      </c>
      <c r="H70" s="8" t="s">
        <v>290</v>
      </c>
      <c r="I70" s="8" t="s">
        <v>291</v>
      </c>
      <c r="J70" s="8" t="s">
        <v>292</v>
      </c>
    </row>
    <row r="71" spans="2:10" ht="62.5" x14ac:dyDescent="0.35">
      <c r="B71" s="1">
        <f t="shared" si="6"/>
        <v>58</v>
      </c>
      <c r="C71" s="2">
        <v>3</v>
      </c>
      <c r="D71" s="3" t="s">
        <v>14</v>
      </c>
      <c r="E71" s="2">
        <v>2</v>
      </c>
      <c r="F71" s="5" t="s">
        <v>293</v>
      </c>
      <c r="G71" s="11" t="s">
        <v>294</v>
      </c>
      <c r="H71" s="8" t="s">
        <v>295</v>
      </c>
      <c r="I71" s="8" t="s">
        <v>296</v>
      </c>
      <c r="J71" s="8" t="s">
        <v>297</v>
      </c>
    </row>
    <row r="72" spans="2:10" ht="87.5" x14ac:dyDescent="0.35">
      <c r="B72" s="1">
        <f t="shared" si="6"/>
        <v>59</v>
      </c>
      <c r="C72" s="2">
        <v>3</v>
      </c>
      <c r="D72" s="3" t="s">
        <v>14</v>
      </c>
      <c r="E72" s="2">
        <v>2</v>
      </c>
      <c r="F72" s="5" t="s">
        <v>298</v>
      </c>
      <c r="G72" s="11" t="s">
        <v>299</v>
      </c>
      <c r="H72" s="8" t="s">
        <v>300</v>
      </c>
      <c r="I72" s="8" t="s">
        <v>301</v>
      </c>
      <c r="J72" s="8" t="s">
        <v>302</v>
      </c>
    </row>
    <row r="73" spans="2:10" ht="62.5" x14ac:dyDescent="0.35">
      <c r="B73" s="1">
        <f t="shared" si="6"/>
        <v>60</v>
      </c>
      <c r="C73" s="2">
        <v>3</v>
      </c>
      <c r="D73" s="3" t="s">
        <v>14</v>
      </c>
      <c r="E73" s="2">
        <v>3</v>
      </c>
      <c r="F73" s="5" t="s">
        <v>303</v>
      </c>
      <c r="G73" s="11" t="s">
        <v>304</v>
      </c>
      <c r="H73" s="8" t="s">
        <v>305</v>
      </c>
      <c r="I73" s="8" t="s">
        <v>306</v>
      </c>
      <c r="J73" s="8" t="s">
        <v>307</v>
      </c>
    </row>
    <row r="74" spans="2:10" ht="62.5" x14ac:dyDescent="0.35">
      <c r="B74" s="1">
        <f t="shared" si="6"/>
        <v>61</v>
      </c>
      <c r="C74" s="2">
        <v>3</v>
      </c>
      <c r="D74" s="3" t="s">
        <v>14</v>
      </c>
      <c r="E74" s="2">
        <v>3</v>
      </c>
      <c r="F74" s="5" t="s">
        <v>308</v>
      </c>
      <c r="G74" s="10" t="s">
        <v>309</v>
      </c>
      <c r="H74" s="3" t="s">
        <v>310</v>
      </c>
      <c r="I74" s="3" t="s">
        <v>311</v>
      </c>
      <c r="J74" s="3" t="s">
        <v>312</v>
      </c>
    </row>
    <row r="75" spans="2:10" ht="62.5" x14ac:dyDescent="0.35">
      <c r="B75" s="1">
        <f t="shared" si="6"/>
        <v>62</v>
      </c>
      <c r="C75" s="2">
        <v>3</v>
      </c>
      <c r="D75" s="3" t="s">
        <v>14</v>
      </c>
      <c r="E75" s="2">
        <v>3</v>
      </c>
      <c r="F75" s="5" t="s">
        <v>313</v>
      </c>
      <c r="G75" s="10" t="s">
        <v>314</v>
      </c>
      <c r="H75" s="3" t="s">
        <v>315</v>
      </c>
      <c r="I75" s="3" t="s">
        <v>316</v>
      </c>
      <c r="J75" s="3" t="s">
        <v>317</v>
      </c>
    </row>
    <row r="76" spans="2:10" ht="62.5" x14ac:dyDescent="0.35">
      <c r="B76" s="1">
        <f t="shared" si="6"/>
        <v>63</v>
      </c>
      <c r="C76" s="2">
        <v>3</v>
      </c>
      <c r="D76" s="3" t="s">
        <v>14</v>
      </c>
      <c r="E76" s="2">
        <v>3</v>
      </c>
      <c r="F76" s="5" t="s">
        <v>318</v>
      </c>
      <c r="G76" s="10" t="s">
        <v>319</v>
      </c>
      <c r="H76" s="3" t="s">
        <v>320</v>
      </c>
      <c r="I76" s="3" t="s">
        <v>321</v>
      </c>
      <c r="J76" s="3" t="s">
        <v>322</v>
      </c>
    </row>
    <row r="77" spans="2:10" ht="62.5" x14ac:dyDescent="0.35">
      <c r="B77" s="1">
        <f t="shared" si="6"/>
        <v>64</v>
      </c>
      <c r="C77" s="2">
        <v>3</v>
      </c>
      <c r="D77" s="3" t="s">
        <v>14</v>
      </c>
      <c r="E77" s="2">
        <v>3</v>
      </c>
      <c r="F77" s="5" t="s">
        <v>323</v>
      </c>
      <c r="G77" s="10" t="s">
        <v>324</v>
      </c>
      <c r="H77" s="3" t="s">
        <v>325</v>
      </c>
      <c r="I77" s="3" t="s">
        <v>326</v>
      </c>
      <c r="J77" s="3" t="s">
        <v>327</v>
      </c>
    </row>
    <row r="78" spans="2:10" ht="62.5" x14ac:dyDescent="0.35">
      <c r="B78" s="1">
        <f t="shared" si="6"/>
        <v>65</v>
      </c>
      <c r="C78" s="2">
        <v>3</v>
      </c>
      <c r="D78" s="3" t="s">
        <v>14</v>
      </c>
      <c r="E78" s="2">
        <v>3</v>
      </c>
      <c r="F78" s="5" t="s">
        <v>328</v>
      </c>
      <c r="G78" s="10" t="s">
        <v>329</v>
      </c>
      <c r="H78" s="3" t="s">
        <v>330</v>
      </c>
      <c r="I78" s="3" t="s">
        <v>331</v>
      </c>
      <c r="J78" s="3" t="s">
        <v>332</v>
      </c>
    </row>
    <row r="79" spans="2:10" ht="75" x14ac:dyDescent="0.35">
      <c r="B79" s="1">
        <f t="shared" si="6"/>
        <v>66</v>
      </c>
      <c r="C79" s="2">
        <v>3</v>
      </c>
      <c r="D79" s="3" t="s">
        <v>14</v>
      </c>
      <c r="E79" s="2">
        <v>3</v>
      </c>
      <c r="F79" s="5" t="s">
        <v>333</v>
      </c>
      <c r="G79" s="10" t="s">
        <v>334</v>
      </c>
      <c r="H79" s="3" t="s">
        <v>335</v>
      </c>
      <c r="I79" s="3" t="s">
        <v>336</v>
      </c>
      <c r="J79" s="3" t="s">
        <v>337</v>
      </c>
    </row>
    <row r="80" spans="2:10" ht="62.5" x14ac:dyDescent="0.35">
      <c r="B80" s="1">
        <f t="shared" si="6"/>
        <v>67</v>
      </c>
      <c r="C80" s="2">
        <v>3</v>
      </c>
      <c r="D80" s="3" t="s">
        <v>14</v>
      </c>
      <c r="E80" s="2">
        <v>3</v>
      </c>
      <c r="F80" s="5" t="s">
        <v>338</v>
      </c>
      <c r="G80" s="9" t="s">
        <v>339</v>
      </c>
      <c r="H80" s="7" t="s">
        <v>340</v>
      </c>
      <c r="I80" s="7" t="s">
        <v>341</v>
      </c>
      <c r="J80" s="7" t="s">
        <v>342</v>
      </c>
    </row>
    <row r="81" spans="2:10" ht="100" x14ac:dyDescent="0.35">
      <c r="B81" s="1">
        <f t="shared" si="6"/>
        <v>68</v>
      </c>
      <c r="C81" s="2">
        <v>3</v>
      </c>
      <c r="D81" s="3" t="s">
        <v>14</v>
      </c>
      <c r="E81" s="2">
        <v>3</v>
      </c>
      <c r="F81" s="5" t="s">
        <v>343</v>
      </c>
      <c r="G81" s="10" t="s">
        <v>344</v>
      </c>
      <c r="H81" s="3" t="s">
        <v>345</v>
      </c>
      <c r="I81" s="3" t="s">
        <v>346</v>
      </c>
      <c r="J81" s="3" t="s">
        <v>347</v>
      </c>
    </row>
    <row r="82" spans="2:10" ht="100" x14ac:dyDescent="0.35">
      <c r="B82" s="1">
        <f t="shared" si="6"/>
        <v>69</v>
      </c>
      <c r="C82" s="2">
        <v>3</v>
      </c>
      <c r="D82" s="3" t="s">
        <v>14</v>
      </c>
      <c r="E82" s="2">
        <v>4</v>
      </c>
      <c r="F82" s="5" t="s">
        <v>348</v>
      </c>
      <c r="G82" s="10" t="s">
        <v>349</v>
      </c>
      <c r="H82" s="3" t="s">
        <v>350</v>
      </c>
      <c r="I82" s="3" t="s">
        <v>351</v>
      </c>
      <c r="J82" s="3" t="s">
        <v>352</v>
      </c>
    </row>
    <row r="83" spans="2:10" ht="62.5" x14ac:dyDescent="0.35">
      <c r="B83" s="1">
        <f t="shared" si="6"/>
        <v>70</v>
      </c>
      <c r="C83" s="2">
        <v>3</v>
      </c>
      <c r="D83" s="3" t="s">
        <v>14</v>
      </c>
      <c r="E83" s="2">
        <v>4</v>
      </c>
      <c r="F83" s="5" t="s">
        <v>353</v>
      </c>
      <c r="G83" s="11" t="s">
        <v>354</v>
      </c>
      <c r="H83" s="8" t="s">
        <v>355</v>
      </c>
      <c r="I83" s="8" t="s">
        <v>356</v>
      </c>
      <c r="J83" s="8" t="s">
        <v>357</v>
      </c>
    </row>
    <row r="84" spans="2:10" ht="62.5" x14ac:dyDescent="0.35">
      <c r="B84" s="1">
        <f t="shared" si="6"/>
        <v>71</v>
      </c>
      <c r="C84" s="2">
        <v>3</v>
      </c>
      <c r="D84" s="3" t="s">
        <v>14</v>
      </c>
      <c r="E84" s="2">
        <v>4</v>
      </c>
      <c r="F84" s="5" t="s">
        <v>358</v>
      </c>
      <c r="G84" s="11" t="s">
        <v>359</v>
      </c>
      <c r="H84" s="8" t="s">
        <v>360</v>
      </c>
      <c r="I84" s="8" t="s">
        <v>361</v>
      </c>
      <c r="J84" s="8" t="s">
        <v>362</v>
      </c>
    </row>
    <row r="85" spans="2:10" ht="287.5" x14ac:dyDescent="0.35">
      <c r="B85" s="1">
        <f t="shared" si="6"/>
        <v>72</v>
      </c>
      <c r="C85" s="2">
        <v>3</v>
      </c>
      <c r="D85" s="3" t="s">
        <v>14</v>
      </c>
      <c r="E85" s="2">
        <v>4</v>
      </c>
      <c r="F85" s="5" t="s">
        <v>363</v>
      </c>
      <c r="G85" s="10" t="s">
        <v>364</v>
      </c>
      <c r="H85" s="3" t="s">
        <v>365</v>
      </c>
      <c r="I85" s="3" t="s">
        <v>366</v>
      </c>
      <c r="J85" s="3" t="s">
        <v>367</v>
      </c>
    </row>
    <row r="86" spans="2:10" ht="62.5" x14ac:dyDescent="0.35">
      <c r="B86" s="1">
        <f t="shared" si="6"/>
        <v>73</v>
      </c>
      <c r="C86" s="2">
        <v>3</v>
      </c>
      <c r="D86" s="3" t="s">
        <v>14</v>
      </c>
      <c r="E86" s="2">
        <v>4</v>
      </c>
      <c r="F86" s="5" t="s">
        <v>368</v>
      </c>
      <c r="G86" s="10" t="s">
        <v>369</v>
      </c>
      <c r="H86" s="3" t="s">
        <v>370</v>
      </c>
      <c r="I86" s="3" t="s">
        <v>371</v>
      </c>
      <c r="J86" s="3" t="s">
        <v>372</v>
      </c>
    </row>
    <row r="87" spans="2:10" ht="87.5" x14ac:dyDescent="0.35">
      <c r="B87" s="1">
        <f t="shared" si="6"/>
        <v>74</v>
      </c>
      <c r="C87" s="2">
        <v>3</v>
      </c>
      <c r="D87" s="3" t="s">
        <v>14</v>
      </c>
      <c r="E87" s="2">
        <v>4</v>
      </c>
      <c r="F87" s="5" t="s">
        <v>373</v>
      </c>
      <c r="G87" s="10" t="s">
        <v>374</v>
      </c>
      <c r="H87" s="3" t="s">
        <v>375</v>
      </c>
      <c r="I87" s="3" t="s">
        <v>376</v>
      </c>
      <c r="J87" s="3" t="s">
        <v>377</v>
      </c>
    </row>
    <row r="88" spans="2:10" x14ac:dyDescent="0.35">
      <c r="B88" s="1">
        <f t="shared" si="6"/>
        <v>75</v>
      </c>
      <c r="C88" s="2"/>
      <c r="D88" s="3"/>
      <c r="E88" s="2"/>
      <c r="F88" s="5"/>
      <c r="G88" s="10"/>
      <c r="H88" s="3"/>
      <c r="I88" s="3"/>
      <c r="J88" s="3"/>
    </row>
    <row r="89" spans="2:10" x14ac:dyDescent="0.35">
      <c r="B89" s="1">
        <f t="shared" si="6"/>
        <v>76</v>
      </c>
      <c r="C89" s="2"/>
      <c r="D89" s="3"/>
      <c r="E89" s="2"/>
      <c r="F89" s="5"/>
      <c r="G89" s="10"/>
      <c r="H89" s="3"/>
      <c r="I89" s="3"/>
      <c r="J89" s="3"/>
    </row>
    <row r="90" spans="2:10" x14ac:dyDescent="0.35">
      <c r="B90" s="1">
        <f t="shared" si="6"/>
        <v>77</v>
      </c>
      <c r="C90" s="2"/>
      <c r="D90" s="3"/>
      <c r="E90" s="2"/>
      <c r="F90" s="5"/>
      <c r="G90" s="9"/>
      <c r="H90" s="7"/>
      <c r="I90" s="7"/>
      <c r="J90" s="7"/>
    </row>
    <row r="91" spans="2:10" x14ac:dyDescent="0.35">
      <c r="B91" s="1">
        <f t="shared" si="6"/>
        <v>78</v>
      </c>
      <c r="C91" s="2"/>
      <c r="D91" s="3"/>
      <c r="E91" s="2"/>
      <c r="F91" s="5"/>
      <c r="G91" s="10"/>
      <c r="H91" s="3"/>
      <c r="I91" s="3"/>
      <c r="J91" s="3"/>
    </row>
    <row r="92" spans="2:10" x14ac:dyDescent="0.35">
      <c r="B92" s="1">
        <f t="shared" si="6"/>
        <v>79</v>
      </c>
      <c r="C92" s="2"/>
      <c r="D92" s="3"/>
      <c r="E92" s="2"/>
      <c r="F92" s="5"/>
      <c r="G92" s="10"/>
      <c r="H92" s="3"/>
      <c r="I92" s="3"/>
      <c r="J92" s="3"/>
    </row>
    <row r="93" spans="2:10" x14ac:dyDescent="0.35">
      <c r="B93" s="1">
        <f t="shared" si="6"/>
        <v>80</v>
      </c>
      <c r="C93" s="2"/>
      <c r="D93" s="3"/>
      <c r="E93" s="2"/>
      <c r="F93" s="5"/>
      <c r="G93" s="10"/>
      <c r="H93" s="3"/>
      <c r="I93" s="3"/>
      <c r="J93" s="3"/>
    </row>
    <row r="94" spans="2:10" x14ac:dyDescent="0.35">
      <c r="B94" s="1">
        <f t="shared" si="6"/>
        <v>81</v>
      </c>
      <c r="C94" s="2"/>
      <c r="D94" s="3"/>
      <c r="E94" s="2"/>
      <c r="F94" s="5"/>
      <c r="G94" s="9"/>
      <c r="H94" s="7"/>
      <c r="I94" s="7"/>
      <c r="J94" s="7"/>
    </row>
    <row r="95" spans="2:10" x14ac:dyDescent="0.35">
      <c r="B95" s="1">
        <f t="shared" si="6"/>
        <v>82</v>
      </c>
      <c r="C95" s="2"/>
      <c r="D95" s="3"/>
      <c r="E95" s="2"/>
      <c r="F95" s="5"/>
      <c r="G95" s="10"/>
      <c r="H95" s="3"/>
      <c r="I95" s="3"/>
      <c r="J95" s="3"/>
    </row>
    <row r="96" spans="2:10" x14ac:dyDescent="0.35">
      <c r="B96" s="1">
        <f t="shared" si="6"/>
        <v>83</v>
      </c>
      <c r="C96" s="2"/>
      <c r="D96" s="3"/>
      <c r="E96" s="2"/>
      <c r="F96" s="5"/>
      <c r="G96" s="10"/>
      <c r="H96" s="3"/>
      <c r="I96" s="3"/>
      <c r="J96" s="3"/>
    </row>
  </sheetData>
  <autoFilter ref="B13:M120" xr:uid="{B005C0B0-9D89-4729-AC6E-7F1010ED0730}"/>
  <mergeCells count="6">
    <mergeCell ref="F11:F12"/>
    <mergeCell ref="G11:J11"/>
    <mergeCell ref="B11:B12"/>
    <mergeCell ref="C11:C12"/>
    <mergeCell ref="D11:D12"/>
    <mergeCell ref="E11:E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docMetadata/LabelInfo.xml><?xml version="1.0" encoding="utf-8"?>
<clbl:labelList xmlns:clbl="http://schemas.microsoft.com/office/2020/mipLabelMetadata">
  <clbl:label id="{8d793fc4-a71f-4652-9576-da0ac3edd3bb}" enabled="1" method="Standard" siteId="{8bc01b57-838e-4194-982d-4c58278d0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Nong Thi Huong</dc:creator>
  <cp:lastModifiedBy>Hien, Vu Bich Hien</cp:lastModifiedBy>
  <cp:lastPrinted>2025-07-01T12:17:07Z</cp:lastPrinted>
  <dcterms:created xsi:type="dcterms:W3CDTF">2025-07-01T11:38:19Z</dcterms:created>
  <dcterms:modified xsi:type="dcterms:W3CDTF">2026-05-19T23:57:42Z</dcterms:modified>
</cp:coreProperties>
</file>