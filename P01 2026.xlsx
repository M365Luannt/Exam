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74CB07C9-70C8-4908-A5BC-24C346142E04}" xr6:coauthVersionLast="47" xr6:coauthVersionMax="47" xr10:uidLastSave="{00000000-0000-0000-0000-000000000000}"/>
  <bookViews>
    <workbookView xWindow="-120" yWindow="-120" windowWidth="29040" windowHeight="15720" xr2:uid="{0A323993-6B0E-4465-9440-DABB234748ED}"/>
  </bookViews>
  <sheets>
    <sheet name="Sheet1" sheetId="1" r:id="rId1"/>
  </sheets>
  <definedNames>
    <definedName name="_xlnm._FilterDatabase" localSheetId="0" hidden="1">Sheet1!$B$13:$M$137</definedName>
    <definedName name="_xlnm.Print_Area" localSheetId="0">Sheet1!$B$1:$L$113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4" i="1" l="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F7" i="1" l="1"/>
  <c r="G7" i="1"/>
  <c r="H7" i="1"/>
  <c r="F8" i="1"/>
  <c r="G8" i="1"/>
  <c r="H8" i="1"/>
  <c r="F9" i="1"/>
  <c r="G9" i="1"/>
  <c r="H9" i="1"/>
  <c r="H6" i="1" l="1"/>
  <c r="G6" i="1"/>
  <c r="F6" i="1"/>
  <c r="B109" i="1"/>
  <c r="B108" i="1"/>
  <c r="B107" i="1"/>
  <c r="B106" i="1"/>
  <c r="B97" i="1"/>
  <c r="B96" i="1"/>
  <c r="B95" i="1"/>
  <c r="B94" i="1"/>
  <c r="B93" i="1"/>
  <c r="B92" i="1"/>
  <c r="B91" i="1"/>
  <c r="B90" i="1"/>
  <c r="B89" i="1"/>
  <c r="B88" i="1"/>
  <c r="B87" i="1"/>
  <c r="B86" i="1"/>
  <c r="B34" i="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76" i="1"/>
  <c r="B75" i="1"/>
  <c r="B74" i="1"/>
  <c r="B73" i="1"/>
  <c r="B72" i="1"/>
  <c r="B71" i="1"/>
  <c r="B70" i="1"/>
  <c r="B69" i="1"/>
  <c r="B68" i="1"/>
  <c r="B67" i="1"/>
  <c r="B66" i="1"/>
  <c r="B65" i="1"/>
  <c r="B64" i="1"/>
  <c r="B63" i="1"/>
  <c r="B62" i="1"/>
  <c r="B61" i="1"/>
  <c r="B60" i="1"/>
  <c r="B59" i="1"/>
  <c r="B58" i="1"/>
  <c r="B57" i="1"/>
  <c r="B56" i="1"/>
  <c r="B78" i="1"/>
  <c r="B79" i="1"/>
  <c r="B80" i="1"/>
  <c r="B81" i="1"/>
  <c r="B82" i="1"/>
  <c r="B83" i="1"/>
  <c r="B84" i="1"/>
  <c r="B85" i="1"/>
  <c r="B98" i="1"/>
  <c r="B99" i="1"/>
  <c r="B100" i="1"/>
  <c r="B101" i="1"/>
  <c r="B102" i="1"/>
  <c r="B103" i="1"/>
  <c r="B104" i="1"/>
  <c r="B105" i="1"/>
  <c r="B110" i="1"/>
  <c r="B111" i="1"/>
  <c r="B112" i="1"/>
  <c r="B113" i="1"/>
  <c r="B77" i="1"/>
  <c r="C13" i="1"/>
  <c r="D13" i="1"/>
  <c r="E13" i="1"/>
  <c r="F13" i="1"/>
  <c r="G13" i="1"/>
  <c r="H13" i="1"/>
  <c r="I13" i="1"/>
  <c r="J13" i="1"/>
  <c r="B13" i="1"/>
  <c r="H5" i="1" l="1"/>
  <c r="E8" i="1"/>
  <c r="E9" i="1"/>
  <c r="F5" i="1"/>
  <c r="E7" i="1"/>
  <c r="G5" i="1"/>
  <c r="E6" i="1"/>
  <c r="E5" i="1" l="1"/>
</calcChain>
</file>

<file path=xl/sharedStrings.xml><?xml version="1.0" encoding="utf-8"?>
<sst xmlns="http://schemas.openxmlformats.org/spreadsheetml/2006/main" count="709" uniqueCount="560">
  <si>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</si>
  <si>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</si>
  <si>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</si>
  <si>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</si>
  <si>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</si>
  <si>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</si>
  <si>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</si>
  <si>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</si>
  <si>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</si>
  <si>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</si>
  <si>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</si>
  <si>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</si>
  <si>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Sản phẩm, dịch vụ thanh toán: Đặc điểm, tính năng và vòng đời của sản phẩm, dịch vụ thanh toán</t>
  </si>
  <si>
    <t>Nghiệp vụ thanh toán: Kiến thức về nguyên lý hoạt động và nghiệp vụ thanh toán</t>
  </si>
  <si>
    <t>Tổ chức kết nối với hệ thống thanh toán: Hiểu biết về kinh doanh, dịch vụ và các xu hướng phát triển liên quan đến các tổ chức kết nối với hệ thống thanh toán.</t>
  </si>
  <si>
    <t>Trong các đặc điểm dưới đây, đặc điểm nào đúng với hệ thống ACH?</t>
  </si>
  <si>
    <t xml:space="preserve"> Hệ thống ACH kết nối với hệ thống IBFT để đảm bảo các TCTV kết nối ACH có thể thực hiện GD chuyển tiền theo thời gian thực với các ngân hàng kết nối với hệ thống IBFT và ngược lại.</t>
  </si>
  <si>
    <t>Hệ thống ACH chỉ xử lý được giao dịch nội bộ ACH.</t>
  </si>
  <si>
    <t>Hệ thống ACH kết nối với hệ thống VAS.</t>
  </si>
  <si>
    <t>Hệ thống ACH kết nối với hệ thống ECOM</t>
  </si>
  <si>
    <t>Trong giao dịch thanh toán trực tuyến ( Ecom), ĐVCNTT sẽ giao hàng cho khách hàng khi:</t>
  </si>
  <si>
    <t>Nhận được kết quả giao dịch thành công từ NAPAS</t>
  </si>
  <si>
    <t>Nhận được kết quả giao dịch từ NAPAS</t>
  </si>
  <si>
    <t>Khi khách hàng báo giao dịch đã trừ tiền</t>
  </si>
  <si>
    <t>Khi hệ thống của ĐVCNTT nhận được mã giao dịch từ khách hàng gửi qua email</t>
  </si>
  <si>
    <t>Đặc điểm nào KHÔNG đúng với giao dịch hoàn trả cho giao dịch chuyển tiền theo thời gian thực (NRT-ACH)</t>
  </si>
  <si>
    <t>TCNL có thể được hoàn trả nhiều lần trên 1 GD gốc</t>
  </si>
  <si>
    <t>TCNL có thể tạo GD hoàn trả cho một GD gốc mà TCNL xử lý không thành công nhưng được thanh toán bù trừ tại ACH (có trạng thái ACSP).</t>
  </si>
  <si>
    <t>Giá trị GD hoàn trả không được vượt quá giá trị GD gốc.</t>
  </si>
  <si>
    <t>TCNL có thể gửi hoàn trả ngay trong phiên hoặc trong phiên tiếp theo.</t>
  </si>
  <si>
    <t>Đặc điểm nào phân biệt rõ nhất giữa thẻ tín dụng (credit card) và thẻ ghi nợ (debit card) về bản chất nguồn tiền?</t>
  </si>
  <si>
    <t>Thẻ tín dụng cho phép chi tiêu dựa trên một khoản vay từ ngân hàng, còn thẻ ghi nợ trừ trực tiếp vào tiền trong tài khoản của bạn.</t>
  </si>
  <si>
    <t>Thẻ ghi nợ có thể dùng để thanh toán trực tuyến, còn thẻ tín dụng thì không.</t>
  </si>
  <si>
    <t>Hạn mức chi tiêu của thẻ ghi nợ cao hơn thẻ tín dụng.</t>
  </si>
  <si>
    <t>Thẻ tín dụng yêu cầu mã PIN cho mọi giao dịch, còn thẻ ghi nợ thì không.</t>
  </si>
  <si>
    <t>Dịch vụ “Nạp tiền vào tài khoản ví điện tử” của NAPAS hỗ trợ nạp tiền từ nguồn nào?</t>
  </si>
  <si>
    <t>Từ thẻ ghi nợ nội địa hoặc tài khoản ngân hàng</t>
  </si>
  <si>
    <t>Từ tài khoản PayPal hoặc thẻ tín dụng quốc tế</t>
  </si>
  <si>
    <t>Từ tiền mặt tại quầy giao dịch của ngân hàng thành viên</t>
  </si>
  <si>
    <t>Từ mã QR thanh toán offline trên hóa đơn nạp tiền</t>
  </si>
  <si>
    <t>Dịch vụ CMTC &amp; BTĐT cho các giao dịch ghi có theo thời gian thực  (NRT-ACH) cho phép người dùng thực hiện giao dịch vào các thời điểm nào dưới đây?</t>
  </si>
  <si>
    <t>Mọi lúc, kể cả ngày lễ và cuối tuần</t>
  </si>
  <si>
    <t>Trong giờ hành chính</t>
  </si>
  <si>
    <t>Từ thứ Hai đến thứ Sáu</t>
  </si>
  <si>
    <t>Chỉ trong ngày làm việc</t>
  </si>
  <si>
    <t xml:space="preserve">Dịch vụ nào dưới đây của Napas đang có lượng giao dịch nhiều nhất?
</t>
  </si>
  <si>
    <t xml:space="preserve">- Dịch vụ chuyển tiền nhanh Napas 247
</t>
  </si>
  <si>
    <t>- Dịch vụ chuyển tiền nhanh NAPAS247 bằng mã VietQR</t>
  </si>
  <si>
    <t>- Dịch vụ thanh toán trên POS</t>
  </si>
  <si>
    <t>- Dịch vụ rút tiền mặt trên ATM</t>
  </si>
  <si>
    <t>Dịch vụ thanh toán hóa đơn tự động có đặc điểm nào sau đây?</t>
  </si>
  <si>
    <t>Ngân hàng trích tiền tự động từ tài khoản của khách hàng để thanh toán định kỳ.</t>
  </si>
  <si>
    <t>Khách hàng phải đến quầy giao dịch để thanh toán mỗi kỳ.</t>
  </si>
  <si>
    <t>Chỉ áp dụng cho hóa đơn điện.</t>
  </si>
  <si>
    <t>Khách hàng phải xác nhận mỗi lần thanh toán.</t>
  </si>
  <si>
    <t>Dịch vụ thanh toán thẻ nội địa qua NAPAS cho phép người dùng thực hiện chức năng nào sau đây?</t>
  </si>
  <si>
    <t>Thanh toán tại POS, ATM, và giao dịch trực tuyến</t>
  </si>
  <si>
    <t>Vay tiêu dùng cá nhân</t>
  </si>
  <si>
    <t>Mua bảo hiểm sức khỏe</t>
  </si>
  <si>
    <t xml:space="preserve"> Nạp tiền điện thoại trả sau</t>
  </si>
  <si>
    <t xml:space="preserve">Đối với giao dịch chuyển tiền nhanh NAPAS 24/7 qua thẻ, phạm vi áp dụng với thẻ đích/ thẻ thụ hưởng gồm:
</t>
  </si>
  <si>
    <t>Thẻ ghi nợ, thẻ tín dụng, thẻ trả trước (gồm cả định danh và vô danh)</t>
  </si>
  <si>
    <t>Thẻ ghi nợ, thẻ tín dụng, thẻ trả trước định danh</t>
  </si>
  <si>
    <t>Thẻ ghi nợ, thẻ trả trước (gồm cả định danh và vô danh)</t>
  </si>
  <si>
    <t>Thẻ ghi nợ</t>
  </si>
  <si>
    <t>Giao dịch thanh toán trực tuyến thường được xác thực bằng phương thức nào?</t>
  </si>
  <si>
    <t>Xác thực bằng mã OTP,softOTP (One-Time Password).</t>
  </si>
  <si>
    <t>Xác thực bằng số điện thoại.</t>
  </si>
  <si>
    <t>Xác thực bằng mã Thẻ căn cước.</t>
  </si>
  <si>
    <t>Xác thực bằng mã PIN của thẻ.</t>
  </si>
  <si>
    <t>Hạn mức giao dịch qua hệ thống NAPAS cho giao dịch chuyển tiền nhanh NAPAS 24/7 là bao nhiêu?</t>
  </si>
  <si>
    <t>Từ 2.000 VNĐ đến dưới 500.000.000 VNĐ</t>
  </si>
  <si>
    <t>Từ 1.000 VNĐ đến dưới 1.000.000 VNĐ</t>
  </si>
  <si>
    <t>Từ 5.000 VNĐ đến dưới 1.000.000.000 VNĐ</t>
  </si>
  <si>
    <t>Từ 10.000 VNĐ đến dưới 500.000.000 VNĐ</t>
  </si>
  <si>
    <t>Hạn mức tối đa cho các GD ghi có theo thời gian thực (NRT-ACH) là bao nhiêu?</t>
  </si>
  <si>
    <t>Dưới 500.000.000 VND</t>
  </si>
  <si>
    <t>300,000.000 VND</t>
  </si>
  <si>
    <t>Không giới hạn</t>
  </si>
  <si>
    <t>Dưới 250.000.000 VND</t>
  </si>
  <si>
    <t>Hệ thống ACH đã golive được dịch vụ nào dưới đây với các TCTV?</t>
  </si>
  <si>
    <t>Dịch vụ CMTC &amp; BTĐT cho GD ghi có theo thời gian thực (NRT)</t>
  </si>
  <si>
    <t>Dịch vụ CMTC &amp; BTĐT cho GD ghi có theo lô (DNS).</t>
  </si>
  <si>
    <t>Dịch vụ quản lý thông tin định danh (CAS- Centralized addressing scheme)</t>
  </si>
  <si>
    <t>Dịch vụ Yêu cầu thanh toán (Request to Pay)</t>
  </si>
  <si>
    <t>Hệ thống ACH hỗ trợ đối tượng nào sử dụng loại giao dịch yêu cầu gửi lại bản sao giao dịch (request transaction copy).</t>
  </si>
  <si>
    <t>NHNL trong giao dịch.</t>
  </si>
  <si>
    <t>Tất cả các TCTV bao gồm NHPL, NHNL trong giao dịch.</t>
  </si>
  <si>
    <t>Cán bộ nghiệp vụ NAPAS</t>
  </si>
  <si>
    <t>Người dùng cuối (end-user)</t>
  </si>
  <si>
    <t>Mục đích chính của dịch vụ VietQR do NAPAS triển khai là gì?</t>
  </si>
  <si>
    <t>Đơn giản hóa việc chuyển tiền bằng cách mã hóa thông tin tài khoản người nhận vào một mã QR duy nhất.</t>
  </si>
  <si>
    <t>Cho phép khách hàng rút tiền mặt tại ATM mà không cần thẻ vật lý.</t>
  </si>
  <si>
    <t>Cung cấp một phương thức thanh toán trả góp tại các trang thương mại điện tử.</t>
  </si>
  <si>
    <t>Mã hóa thông tin thẻ của khách hàng để thanh toán tại máy POS.</t>
  </si>
  <si>
    <t>Napas cung cấp những sản phẩm, dịch vụ thanh toán nào sau đây?
(1) Dịch vụ chuyển tiền nhanh 24/7
(2) Dịch vụ thanh toán trên ATM/POS
(3) Cổng thanh toán điện tử hỗ trợ thanh toán trực tuyến
(4) Phát hành thẻ tín dụng quốc tế và dịch vụ bảo hiểm nhân thọ
(5) Dịch vụ thanh toán hóa đơn
*Chọn tổ hợp đáp án đúng</t>
  </si>
  <si>
    <t>(1), (2), (3), (5)</t>
  </si>
  <si>
    <t>(1), (2), (4), (5)</t>
  </si>
  <si>
    <t>(1), (3), (4), (5)</t>
  </si>
  <si>
    <t>(2), (3), (4), (5)</t>
  </si>
  <si>
    <t>Napas KHÔNG cung cấp những sản phẩm, dịch vụ thanh toán nào sau đây?</t>
  </si>
  <si>
    <t>Phát hành thẻ tín dụng quốc tế và dịch vụ bảo hiểm nhân thọ</t>
  </si>
  <si>
    <t>Dịch vụ CMTC VÀ BTĐT cho giao dịch chuyển tiền nhanh NAPAS 24/7</t>
  </si>
  <si>
    <t>Dịch vụ CMTC VÀ BTĐT cho các giao dịch trên POS ATM/POS</t>
  </si>
  <si>
    <t>Dịch vụ CMTC VÀ BTĐT cho giao dịch thanh toán trực tuyến</t>
  </si>
  <si>
    <t>Nếu ngân hàng A thiết lập hạn mức giao dịch Ecom tại ngân hàng đó là tối thiểu 1.000 đồng, tối đa 100.000.000đ , số tiền  của một giao dịch Ecom qua NAPAS thực tế tại ngân hàng đó sẽ là:</t>
  </si>
  <si>
    <t xml:space="preserve">Tối thiểu 2.000 đồng, tối đa 100.000.000 đồng </t>
  </si>
  <si>
    <t xml:space="preserve">Tối thiểu 2.000 đồng, tối đa 200.000.000 đồng  </t>
  </si>
  <si>
    <t xml:space="preserve">Tối thiểu 1.000 đồng, tối đa 100.000.000 đồng </t>
  </si>
  <si>
    <t>Tối thiểu 1.000 đồng, tối đa 200.000.000 đồng</t>
  </si>
  <si>
    <t xml:space="preserve">Quy trình thanh toán bằng mã QR tại ĐVCNTT gồm những bước nào?
</t>
  </si>
  <si>
    <t>Yêu cầu tạo mã QR, quét mã QR, kiểm tra mã QR, xác nhận thanh toán, hiển thị kết quả giao dịch.</t>
  </si>
  <si>
    <t>Yêu cầu tạo mã QR, quét mã QR, kiểm tra mã QR, xác nhận thanh toán</t>
  </si>
  <si>
    <t>Yêu cầu tạo mã QR, kiểm tra mã QR, xác nhận thanh toán</t>
  </si>
  <si>
    <t>Yêu cầu tạo mã QR, quét mã QR, xác nhận thanh toán</t>
  </si>
  <si>
    <t>Sản phẩm “Rút tiền bằng mã VietQR (VietQRCash)” của NAPAS cho phép khách hàng rút tiền tại ATM bằng cách nào?</t>
  </si>
  <si>
    <t>Sử dụng ứng dụng ngân hàng trên điện thoại để quét mã VietQR</t>
  </si>
  <si>
    <t>Quét mã QR trên hóa đơn điện nước để rút tiền</t>
  </si>
  <si>
    <t>Gọi tổng đài để nhận mã PIN rồi nhập tại ATM</t>
  </si>
  <si>
    <t>Sử dụng mã OTP từ email để rút tiền tại ATM</t>
  </si>
  <si>
    <t>Tổ chức phát lệnh trong dịch vụ Hỗ trợ thu hộ chi hộ được quy định là những đơn vị nào dưới đây?</t>
  </si>
  <si>
    <t>Ngân hàng và Trung gian thanh toán Ví điện tử</t>
  </si>
  <si>
    <t>Ngân hàng, Trung gian kết nối và Trung gian thanh toán Ví điện tử.</t>
  </si>
  <si>
    <t>Trung gian thanh toán Ví điện tử</t>
  </si>
  <si>
    <t>Ngân hàng và Trung gian thanh toán</t>
  </si>
  <si>
    <t>Trong các đặc điểm dưới đây, đặc điểm nào đúng với thời gian xử lý giao dịch ghi có theo thời gian thực (NRT-ACH)?</t>
  </si>
  <si>
    <t>Tiền được chuyển và nhận gần như ngay lập tức.</t>
  </si>
  <si>
    <t>Người thụ hưởng sẽ nhận được tiền vào ngày làm việc tiếp theo kể từ ngày người gửi chuyển tiền.</t>
  </si>
  <si>
    <t>Thời gian nhận tiền phụ thuộc vào hệ thống xử lý của từng ngân hàng thụ hưởng.</t>
  </si>
  <si>
    <t>Phụ thuộc vào thỏa thuận giữa nhận hàng phát lệnh và ngân hàng thụ hưởng</t>
  </si>
  <si>
    <t>Trong các đặc điểm dưới đây, đặc điểm nào là đúng với dịch vụ chuyển khoản liên ngân hàng qua Napas?</t>
  </si>
  <si>
    <t xml:space="preserve">Giao dịch có thể thực hiện 24/7, kể cả ngày lễ và cuối tuần. </t>
  </si>
  <si>
    <t>Giao dịch chỉ thực hiện được vào giờ hành chính của ngân hàng.</t>
  </si>
  <si>
    <t>Chỉ hỗ trợ chuyển tiền giữa các tài khoản trong cùng một ngân hàng.</t>
  </si>
  <si>
    <t>Người nhận phải chờ tối thiểu 24 giờ để nhận được tiền.</t>
  </si>
  <si>
    <t xml:space="preserve">Trong các đặc điểm dưới đây, những đặc điểm nào là đúng với dịch vụ CMTC và BTĐT cho các giao dịch chuyển tiền nhanh NAPAS247? 
1. Phương tiện chuyển tiền bao gồm: Số tài khoản, số thẻ, ví điện tử... hoặc mã VietQR
2. Nguồn tiền chuyển của khách hàng từ nguồn tài khoản, thẻ tin dụng, thẻ ghi nợ, thẻ trả trước vô danh.
3. Hạn mức giao dịch: tùy thuộc vào TCPH và TCNL quy định.
4. Hạn mức giao dịch tôi đa là dưới 500 triệu đồng và không có hạn mức tối thiểu.
5. Hạn mức giao dịch tối đa là dưới 500 triêu đồng và hạn mức tối thiểu là 2.000 đồng, ngoại trừ giao dịch chuyển tiền từ ví điện tử và mobile money có hạn mức tối đa lần lượt là 100.000.000 đồng và 10.000.000 đồng/giao dịch.
6. Kênh giao dịch: Tất cả các kênh do TCPH quy định bao gồm nhưng không giới hạn kênh ATM, Mobile banking, internet banking, Quầy giao dịch, ứng dụng ví điện tử... </t>
  </si>
  <si>
    <t>1, 2, 5, 6</t>
  </si>
  <si>
    <t>2, 3, 6</t>
  </si>
  <si>
    <t>1, 2, 4, 5</t>
  </si>
  <si>
    <t>1, 5, 6</t>
  </si>
  <si>
    <t>Trong một giao dịch rút tiền mặt bằng thẻ nội địa tại ATM khác ngân hàng, quy trình xử lý sẽ bao gồm các bước nào sau đây?</t>
  </si>
  <si>
    <t>KH =&gt; ATM =&gt; ACQ =&gt; NAPAS =&gt;ISS =&gt; NAPAS =&gt; ACQ =&gt; ATM =&gt; Nhận kết quả</t>
  </si>
  <si>
    <t>KH =&gt; ATM =&gt; NAPAS =&gt; ISS =&gt; NAPAS =&gt; ATM =&gt; Nhận kết quả</t>
  </si>
  <si>
    <t>KH =&gt; ATM =&gt; ACQ =&gt; NAPAS =&gt; ISS =&gt;ATM =&gt; Nhận kết quả</t>
  </si>
  <si>
    <t>KH =&gt; ATM  =&gt; NAPAS =&gt;ISS =&gt; NAPAS =&gt; ACQ =&gt; ATM =&gt; Nhận kết quả</t>
  </si>
  <si>
    <t>Với giao dịch chuyển tiền bằng mã QR, sự khác nhau cơ bản giữa QR động và QR tĩnh là gì</t>
  </si>
  <si>
    <t>QR động có bao gồm số tiền giao dịch, thông tin giao dịch (nếu có), QR tĩnh thì không</t>
  </si>
  <si>
    <t>QR động thì có bao gồm tên người nhận, QR tĩnh thì không</t>
  </si>
  <si>
    <t>QR động thì không cần giao dịch truy vấn, còn QR tĩnh thì cần</t>
  </si>
  <si>
    <t>QR động chỉ được sử dụng cho giao dịch tại POS, còn QR tĩnh chỉ dùng cho giao dịch trực tuyến.</t>
  </si>
  <si>
    <t>Dịch vụ kết nối quốc tế theo thông tư 19 đang triển khai với những Tổ chức quốc tế nào?</t>
  </si>
  <si>
    <t>VISA, MASTERCARD, JCB, UPI</t>
  </si>
  <si>
    <t>VISA, MASTERCARD, JCB</t>
  </si>
  <si>
    <t>VISA, MASTERCARD, JCB, DFS, NSPK</t>
  </si>
  <si>
    <t>VISA, MASTERCARD, JCB, AMEX, SWIFT</t>
  </si>
  <si>
    <t>Để cải tiến các sản phẩm, dịch vụ thanh toán của Napas nhằm đáp ứng nhu cầu thị trường trong ngắn hạn, yếu tố nào sau đây là quan trọng nhất?</t>
  </si>
  <si>
    <t xml:space="preserve"> Cập nhật công nghệ bảo mật và mã hóa dữ liệu để đảm bảo an toàn giao dịch.</t>
  </si>
  <si>
    <t>Đẩy mạnh hợp tác với các công ty fintech để mở rộng mạng lưới thanh toán.</t>
  </si>
  <si>
    <t>Tích hợp thêm các phương thức thanh toán không tiếp xúc như Apple Pay, Google Pay.</t>
  </si>
  <si>
    <t>Giảm phí giao dịch cho người dùng mà không cần tối ưu vận hành.</t>
  </si>
  <si>
    <t>Dịch vụ “Cổng thanh toán Napas” có đặc điểm nào sau đây khiến nó phù hợp cho các doanh nghiệp bán hàng trực tuyến?</t>
  </si>
  <si>
    <t>Cho phép thanh toán bằng thẻ nội địa, tài khoản ngân hàng và mã VietQR trên các nền tảng như website, mobile app</t>
  </si>
  <si>
    <t>Chỉ áp dụng tại các cửa hàng bán lẻ truyền thống, không hỗ trợ thanh toán online</t>
  </si>
  <si>
    <t>Yêu cầu doanh nghiệp phải sử dụng thiết bị POS vật lý mới triển khai được</t>
  </si>
  <si>
    <t>Chỉ dành cho các đơn vị cung cấp dịch vụ công của nhà nước như thuế và bảo hiểm</t>
  </si>
  <si>
    <t>Điểm khác biệt chính giữa thanh toán VietQRPay qua Napas và thanh toán Apple Pay là gì?</t>
  </si>
  <si>
    <t>VietQRPay là phương thức thanh toán dựa trên QR code, còn Apple Pay là phương thức thanh toán không tiếp xúc (NFC) thông qua thẻ được số hóa</t>
  </si>
  <si>
    <t>VietQRPay áp dụng công nghệ sinh trắc học, còn Apple Pay thì không</t>
  </si>
  <si>
    <t>Apple Pay là phương thức thanh toán nội địa, còn VietQRPay dùng cho giao dịch quốc tế</t>
  </si>
  <si>
    <t>Cả hai đều sử dụng QR code và do cùng một tổ chức vận hành</t>
  </si>
  <si>
    <t>Một tính năng nổi bật giúp dịch vụ “Rút tiền bằng mã VietQR (VietQRCash)” khác biệt với hình thức rút tiền truyền thống là gì?</t>
  </si>
  <si>
    <t>Khách hàng có thể rút tiền tại ATM mà không cần dùng đến thẻ, chỉ cần ứng dụng ngân hàng trên điện thoại</t>
  </si>
  <si>
    <t>Khách hàng phải nhập số thẻ NAPAS và mã PIN giấy tại ATM</t>
  </si>
  <si>
    <t>Khách hàng chỉ có thể thực hiện giao dịch tại quầy giao dịch của ngân hàng phát hành</t>
  </si>
  <si>
    <t>Giao dịch yêu cầu xác thực qua OTP được gửi từ NAPAS thay vì qua ngân hàng</t>
  </si>
  <si>
    <t>Sản phẩm VietQRGlobal với TCQT Thái ,Cam , Lào có gì khác với TCQT Trung, Hàn,Sing?</t>
  </si>
  <si>
    <t>VietQRGlobal chiều TCQT là TCNL thì Thái, Cam, Lào theo TCKT 1.0; Trung, Hàn, Sing theo TCKT 2.0</t>
  </si>
  <si>
    <t>VietQRGlobal chiều TCQT là TCNL thì Thái, Cam, Lào theo TCKT 2.0; Trung, Hàn, Sing theo TCKT 1.0</t>
  </si>
  <si>
    <t>TCQT Thái , Cam, Lào chỉ làm được chiều TCPL</t>
  </si>
  <si>
    <t>Sự khác biệt chủ yếu giữa các quốc gia là hạn mức giao dịch, không liên quan đến phiên bản TCKT</t>
  </si>
  <si>
    <t>Sự khác biệt chính giữa dịch vụ chuyển tiền nhanh Napas 24/7 và dịch vụ thanh toán thẻ nội địa qua Napas là gì?</t>
  </si>
  <si>
    <t>Dịch vụ chuyển tiền 24/7 xử lý theo thời gian thực (real-time) - bên thụ hưởng nhận được tiền ngay, còn thanh toán thẻ xử lý theo lô - ĐVCNTT nhận tiền sau khi kết thúc phiên giao dịch.</t>
  </si>
  <si>
    <t>Cả hai đều yêu cầu kết nối giữa tổ chức phát hành và tổ chức chấp nhận qua hệ thống chuyển mạch Napas</t>
  </si>
  <si>
    <t>Thanh toán thẻ yêu cầu xác thực người dùng qua mã PIN, còn chuyển tiền không cần</t>
  </si>
  <si>
    <t>Chuyển tiền 24/7 áp dụng cho tổ chức phát hành, còn thanh toán thẻ áp dụng cho tổ chức trung gian</t>
  </si>
  <si>
    <t xml:space="preserve">Bạn được giao nhiệm vụ đánh giá khả năng triển khai dịch vụ thanh toán Apple Pay thông qua thiết bị NFC trên thị trường Việt Nam. Trong quá trình tìm hiểu, bạn ghi nhận các điểm sau:
- Một số ngân hàng đã sẵn sàng tokenization nhưng chưa được Apple duyệt chính thức.
- Một số thiết bị di động của khách hàng chưa hỗ trợ NFC.
- Tỷ lệ giao dịch không tiếp xúc (contactless) còn thấp so với thanh toán QR.
- Apple yêu cầu cao về bảo mật (tuân thủ tokenization, PCI-DSS…).
Lựa chọn nào dưới đây là phù hợp nhất với bối cảnh hiện tại: </t>
  </si>
  <si>
    <t>Triển khai thí điểm với một số ngân hàng đã hỗ trợ tokenization.</t>
  </si>
  <si>
    <t>Tạm dừng triển khai Apple Pay vì điều kiện thị trường chưa sẵn sàng.</t>
  </si>
  <si>
    <t>Thay Apple Pay bằng giải pháp QR nội địa do Napas phát triển.</t>
  </si>
  <si>
    <t>Triển khai đồng loạt Apple Pay trên toàn thị trường.</t>
  </si>
  <si>
    <t>Một đối tác của Napas đang triển khai hệ thống thanh toán qua Apple Pay cho khách hàng của mình. Để đảm bảo dịch vụ hoạt động đúng yêu cầu, họ cần đáp ứng các điều kiện sau: 
- Hệ thống phải hỗ trợ công nghệ tokenization để bảo vệ thông tin thẻ khách hàng.
- Đối tác cần có hợp tác trực tiếp với Apple để cung cấp dịch vụ.
- Công ty phải tuân thủ tiêu chuẩn bảo mật PCI-DSS.
- Khách hàng phải sử dụng thiết bị có hỗ trợ NFC để thực hiện thanh toán không tiếp xúc.
Trong quá trình triển khai, đối tác báo cáo một số vấn đề:
- Một số thiết bị của khách hàng không hỗ trợ NFC.
- Hệ thống của đối tác chưa tích hợp đầy đủ công nghệ tokenization vào quy trình thanh toán.
- Đối tác chưa ký hợp đồng chính thức với Apple, nhưng hệ thống đã có khả năng tương thích với Apple Pay.
- Một số giao dịch thanh toán vẫn gặp vấn đề về bảo mật thông tin thẻ khi xử lý qua hệ thống.
Với các thông tin trên, Anh/Chị cho rằng giải pháp tối ưu nào sẽ giúp đối tác triển khai Apple Pay thành công, đảm bảo đáp ứng đầy đủ yêu cầu bảo mật và vận hành hiệu quả?</t>
  </si>
  <si>
    <t>Đảm bảo ký hợp đồng hợp tác chính thức với Apple, sau đó tích hợp tokenization và thực hiện nâng cấp hệ thống NFC cho các thiết bị không tương thích, đồng thời đảm bảo tuân thủ PCI-DSS.</t>
  </si>
  <si>
    <t>Tạm dừng triển khai Apple Pay cho các thiết bị không hỗ trợ NFC, ký hợp đồng hợp tác với Apple và yêu cầu đối tác hoàn thiện hệ thống tokenization và đảm bảo bảo mật theo tiêu chuẩn PCI-DSS.</t>
  </si>
  <si>
    <t>Tiếp tục triển khai dịch vụ Apple Pay cho khách hàng sử dụng thiết bị có NFC, và chỉ cần tối ưu hệ thống tokenization mà không cần hợp tác với Apple hoặc tuân thủ PCI-DSS.</t>
  </si>
  <si>
    <t>Chuyển sang triển khai các phương thức thanh toán khác như QR Code hoặc thẻ vật lý, đồng thời đẩy mạnh việc sử dụng các hệ thống bảo mật dữ liệu không phải tokenization.</t>
  </si>
  <si>
    <t>Một ngân hàng muốn mở rộng tập khách hàng sử dụng ví điện tử, đồng thời tăng trải nghiệm người dùng. Họ nên tích hợp dịch vụ nào của NAPAS vào hệ sinh thái số của mình?</t>
  </si>
  <si>
    <t>Dịch vụ Nạp/Rút tiền từ tài khoản điện tử kết hợp chuyển mạch và đối soát giao dịch</t>
  </si>
  <si>
    <t>Chỉ cần triển khai dịch vụ nạp tiền điện tử vì đã bao gồm cả rút tiền</t>
  </si>
  <si>
    <t>Sử dụng Apple Pay làm dịch vụ trung gian để chuyển tiền giữa các ví điện tử</t>
  </si>
  <si>
    <t>Áp dụng dịch vụ QR Code để thực hiện chuyển khoản liên ngân hàng</t>
  </si>
  <si>
    <t>Theo bạn khó khăn của Napas trong việc triển khai dịch vụ thu hộ chi hộ với các TGKN và NCCDV là gì?</t>
  </si>
  <si>
    <t>Các NCCDV và TGKN đang dùng các chuẩn kết nối khác nhau gây mất thời gian khi thực hiện tích hợp; quy trình đối soát, nghiệp vụ của các bên chưa đồng nhất</t>
  </si>
  <si>
    <t xml:space="preserve">Khác biệt về quy trình nghiệp vụ giữa các bên </t>
  </si>
  <si>
    <t>Các NCCDV và TGKN đang dùng các chuẩn kết nối khác nhau gây mất thời gian khi thực hiện tích hợp</t>
  </si>
  <si>
    <t>Trong các lựa chọn dưới đây, đâu là đối tượng phù hợp nhất để triển khai dịch vụ “Tap to Phone” của NAPAS?</t>
  </si>
  <si>
    <t>Các đơn vị bán lẻ nhỏ hoặc lưu động cần giải pháp thanh toán không tiếp xúc tiện lợi, tiết kiệm chi phí thiết bị</t>
  </si>
  <si>
    <t>Ngân hàng muốn triển khai hệ thống POS cố định tại trụ sở</t>
  </si>
  <si>
    <t>Khách hàng cá nhân cần thực hiện chuyển tiền qua ATM định kỳ</t>
  </si>
  <si>
    <t>Doanh nghiệp lớn với hệ thống máy POS truyền thống tại trung tâm thương mại</t>
  </si>
  <si>
    <t>Trong đợt phân tích thị trường gần đây, Khối Kinh doanh đề xuất triển khai một sản phẩm thanh toán vé xe công cộng không tiếp xúc (contactless) thông qua Napas với mô hình liên kết ngân hàng – ví – nhà cung cấp dịch vụ vận tải. Tuy nhiên, kết quả khảo sát cho thấy:
- 57% người dùng không biết về sản phẩm
- 31% ví điện tử chưa hỗ trợ NFC
- 22% nhà cung cấp dịch vụ vận tải không muốn đầu tư thêm thiết bị chấp nhận thanh toán.
Bạn nên đề xuất hướng cải tiến thế nào?
(1) Ưu tiên nâng cao truyền thông nhận biết về dịch vụ và phối hợp truyền thông đa kênh với các ngân hàng, ví, nhà cung cấp dịch vụ vận tải
(2) Tạm dừng triển khai do thị trường chưa sẵn sàng, chờ sau 12 tháng khảo sát lại
(3) Cân nhắc triển khai thêm phương thức thanh toán bằng mã QR để giải quyết vấn đề về thiết bị. 
(4) Chỉ chọn triển khai tại các thành phố lớn, không mở rộng ra địa phương
*Chọn tổ hợp đáp án đúng</t>
  </si>
  <si>
    <t>(1), (3)</t>
  </si>
  <si>
    <t>(1), (2)</t>
  </si>
  <si>
    <t>(2), (4)</t>
  </si>
  <si>
    <t>(3), (4)</t>
  </si>
  <si>
    <t xml:space="preserve">Trong quá trình vận hành dịch vụ cổng thanh toán, các NHPH có đề xuất Napas cung cấp công cụ hỗ trợ cho NHPH quản lý rủi ro và chặn các giao dịch nghi ngờ có độ rủi ro cao. Hiện tại hệ thống Napas chỉ xử lý một số các thông tin chính như số thẻ/số tài khoản, số tiền , merchant code, sub merchant nhưng riêng thông tin submerchant NH gửi về Ngân hàng trong quá trình cấp phép. Theo bạn sản phẩm cổng thanh toán của Napas có thể cải tiến các chức năng gì để  đáp ứng các yêu cầu của khách hàng </t>
  </si>
  <si>
    <t xml:space="preserve"> Napas xây dựng công cụ hỗ trợ quản lý rủi ro cho phép chặn hoặc cảnh báo các giao dịch nghi ngờ, cung cấp cho NHPH để sử dụng, cài đặt và triển khai theo khẩu vị rủi ro của Ngân hàng.</t>
  </si>
  <si>
    <t>Napas chủ động tự xây dựng các quy tắc và chủ động từ chối giao dịch nếu đánh giá rủi ro.</t>
  </si>
  <si>
    <t xml:space="preserve"> NHPH có trách nhiệm chính trong công tác QLRR cho chủ thẻ của NH, Napas sẽ phối hợp với các bên trong quá trình xác mình, không cần phải đáp ứng các yêu cầu của Ngân hàng.</t>
  </si>
  <si>
    <t>Yêu cầu các TCTT / ĐVCNTT có biện pháp quản lý rủi ro đáp ứng các yêu cầu của NHPH</t>
  </si>
  <si>
    <t>Napas đang triển khai nền tảng thanh toán quốc tế dựa trên công nghệ Blockchain, với mục tiêu giảm chi phí giao dịch và tăng cường tính minh bạch cho các giao dịch xuyên biên giới. Sản phẩm này được thiết kế để hỗ trợ các giao dịch thanh toán giữa các ngân hàng đối tác của Napas, giúp giảm thiểu thời gian xử lý và chi phí. Tuy nhiên, sau 6 tháng triển khai, một số ngân hàng đối tác bắt đầu phản ánh những vấn đề liên quan đến khả năng xử lý giao dịch trong thời gian cao điểm. Cụ thể, mặc dù Blockchain có khả năng xử lý giao dịch nhanh, nhưng trong các đợt giao dịch có khối lượng lớn (ví dụ: trong các đợt thanh toán quốc tế cuối tháng hoặc cuối quý), hệ thống gặp phải sự chậm trễ và có tình trạng giao dịch bị lỗi hoặc bị gián đoạn.
Bên cạnh đó, các đối tác quốc tế yêu cầu Napas cải thiện tính ổn định và khả năng bảo mật của hệ thống để đảm bảo rằng các giao dịch quốc tế có thể được xử lý an toàn, đặc biệt là trong bối cảnh các vụ tấn công mạng và các vấn đề liên quan đến dữ liệu nhạy cảm đang gia tăng. Một số ngân hàng cũng đề xuất Napas xem xét bổ sung khả năng tích hợp với các ví điện tử và hệ sinh thái thanh toán của các fintech, nhằm tăng tính linh hoạt và đa dạng cho dịch vụ thanh toán này.
Ngoài ra, một số ngân hàng cho rằng mặc dù công nghệ blockchain hứa hẹn tiết kiệm chi phí nhưng lại yêu cầu chi phí ban đầu để triển khai công nghệ này là khá cao, trong khi chưa rõ ràng về mức độ lợi ích lâu dài. Cuối cùng, do sự xuất hiện của các đối thủ cạnh tranh sử dụng công nghệ mới như AI và Machine Learning để tối ưu hóa thanh toán quốc tế, Napas cần tìm cách tối ưu hóa sản phẩm blockchain của mình để duy trì lợi thế cạnh tranh.
Dựa trên tình huống này, Anh/Chị sẽ đánh giá nền tảng thanh toán blockchain của Napas đang ở giai đoạn nào trong vòng đời sản phẩm và cần thực hiện các hành động gì để tối ưu hóa sản phẩm, mở rộng khả năng hỗ trợ thanh toán quốc tế, đồng thời duy trì tính cạnh tranh? Hãy chọn các giải pháp KHÔNG phù hợp từ các phương án dưới đây.</t>
  </si>
  <si>
    <t>Hoãn toàn bộ việc triển khai blockchain và chuyển sang đầu tư vào hệ thống chuyển tiền truyền thống như SWIFT.</t>
  </si>
  <si>
    <t>Bổ sung khả năng tích hợp với ví điện tử và hệ sinh thái fintech để tăng tính linh hoạt.</t>
  </si>
  <si>
    <t>Tăng cường năng lực xử lý của hệ thống bằng cách tối ưu thuật toán đồng thuận và mở rộng khả năng xử lý song song.</t>
  </si>
  <si>
    <t>Rà soát và nâng cấp bảo mật hệ thống để giảm thiểu rủi ro trong giao dịch xuyên biên giới.</t>
  </si>
  <si>
    <t>Napas đang triển khai thử nghiệm nền tảng thanh toán quốc tế dựa trên công nghệ Blockchain. Sau 6 tháng vận hành, dịch vụ được ghi nhận:
- Khó mở rộng giao dịch vào giờ cao điểm.
- Một số đối tác yêu cầu đảm bảo tính ổn định cao hơn.
- Một số ngân hàng đề xuất bổ sung thêm tính năng để hỗ trợ các ví điện tử.
Đâu là tổ hợp hành động phù hợp nhất để đánh giá vòng đời sản phẩm và xác định hướng điều chỉnh?</t>
  </si>
  <si>
    <t>Phân tích dữ liệu giao dịch và phản hồi đối tác để xác định giai đoạn vòng đời hiện tại, từ đó rà soát chiến lược và tính năng sản phẩm.</t>
  </si>
  <si>
    <t>Chuyển toàn bộ hệ thống sang dùng công nghệ truyền thống ổn định hơn.</t>
  </si>
  <si>
    <t>Tạm dừng triển khai sản phẩm để kiểm tra lại toàn bộ quy trình kỹ thuật.</t>
  </si>
  <si>
    <t xml:space="preserve"> Đề xuất mở rộng thêm dịch vụ không cần phân tích thực trạng sản phẩm.</t>
  </si>
  <si>
    <t>Napas triển khai sản phẩm thanh toán điện tử mới, cho phép các ngân hàng đối tác tích hợp tính năng thanh toán hóa đơn, chuyển tiền và thanh toán thẻ qua điện thoại di động. Tuy nhiên, sau một năm triển khai, một số ngân hàng đối tác báo cáo về tình trạng tỷ lệ giao dịch thấp trong những tháng gần đây. Bên cạnh đó, một số khách hàng cuối phàn nàn về sự phức tạp trong giao diện người dùng, đặc biệt khi thực hiện giao dịch thanh toán hóa đơn. Một số ngân hàng yêu cầu cải thiện tốc độ xử lý và giao diện người dùng trong khi một số khác lại yêu cầu các tính năng bảo mật mạnh mẽ hơn.
Ngoài ra, thị trường xuất hiện nhiều ví điện tử cạnh tranh với trải nghiệm đơn giản hơn, ưu đãi hấp dẫn hơn.
Với tình huống này, Bạn sẽ đánh giá sản phẩm thanh toán điện tử này đang ở giai đoạn nào trong vòng đời sản phẩm và cần thực hiện các hành động gì để tối ưu hóa chiến lược phát triển sản phẩm, đáp ứng nhu cầu thị trường và duy trì sự cạnh tranh?</t>
  </si>
  <si>
    <t>Sản phẩm đang ở giai đoạn trưởng thành – cần cải tiến tính năng, tối ưu vận hành và định vị lại thị trường mục tiêu</t>
  </si>
  <si>
    <t>Sản phẩm đang ở giai đoạn tăng trưởng – cần đầu tư mạnh vào quảng bá, mở rộng hợp tác</t>
  </si>
  <si>
    <t>Sản phẩm đang ở giai đoạn khủng hoảng – cần tạm dừng triển khai toàn bộ để tái cấu trúc</t>
  </si>
  <si>
    <t>Sản phẩm đang ở giai đoạn giới thiệu – cần tập trung truyền thông để tăng nhận biết</t>
  </si>
  <si>
    <t xml:space="preserve">Cơ chế xử lý  nào của TCPL là đúng cho trường hợp sau khi gửi lệnh yêu cầu thanh toán TCPL không nhận được phản hồi của NAPAS trong thời gian quy định hoặc NAPAS trả lỗi time out (RC=68) </t>
  </si>
  <si>
    <t xml:space="preserve">Ghi nhận giao dịch Timeout đang được xử lý, Tài khoản thực hiện giao dịch bị ghi nợ/giữ số tiền giao dịch, kết quả xử lý sau đối soát </t>
  </si>
  <si>
    <t>Ghi nhận giao dịch không thành công</t>
  </si>
  <si>
    <t>Ghi nhận giao dịch không thành công và hoàn tiền cho KH</t>
  </si>
  <si>
    <t>Ghi nhận giao dịch Timeout và hoàn tiền cho khách hàng để tránh tra soát</t>
  </si>
  <si>
    <t>Bạn hiểu biết thế nào về dịch vụ bù trừ điện tử của Công ty?</t>
  </si>
  <si>
    <t xml:space="preserve">Là quá trình tổng hợp, đối soát và tính toán nghĩa vụ thanh toán giữa các bên tham gia kết nối vào hạ tầng chuyển mạch tài chính trước khi thực hiện bước thanh toán cuối cùng. </t>
  </si>
  <si>
    <t>Là quy trình xác thực người dùng cuối trong các giao dịch tài chính điện tử nhằm đảm bảo an toàn bảo mật cho các bên tham gia.</t>
  </si>
  <si>
    <t>Là dịch vụ lưu trữ dữ liệu giao dịch và cung cấp báo cáo định kỳ cho các tổ chức tài chính kết nối hệ thống.</t>
  </si>
  <si>
    <t>Là hệ thống hỗ trợ chuyển đổi tiền tệ giữa các tổ chức tài chính khi thực hiện giao dịch quốc tế qua hạ tầng của công ty.</t>
  </si>
  <si>
    <t xml:space="preserve">Bạn hiểu biết thế nào về dịch vụ chuyển mạch tài chính của Công ty?
</t>
  </si>
  <si>
    <t>Đây là dịch vụ trung gian kết nối các tổ chức tài chính (ngân hàng, công ty tài chính), các đơn vị trung gian thanh toán để xử lý và định tuyến các giao dịch thanh toán điện tử như giao dịch chuyển tiền liên ngân hàng, giao dịch thẻ tại ATM/POS</t>
  </si>
  <si>
    <t>Đây là dịch vụ cung cấp nền tảng phần mềm cho các ngân hàng triển khai hệ thống Internet Banking và Mobile Banking phục vụ khách hàng cá nhân.</t>
  </si>
  <si>
    <t>Đây là dịch vụ lưu trữ và khôi phục dữ liệu giao dịch tài chính nhằm đảm bảo tính toàn vẹn và sẵn sàng của hệ thống thanh toán điện tử.</t>
  </si>
  <si>
    <t>Đây là dịch vụ hỗ trợ phân tích hành vi giao dịch của người dùng để phát hiện gian lận và xây dựng báo cáo cho các tổ chức tài chính.</t>
  </si>
  <si>
    <t>Đâu là yếu tố quan trọng nhất để NAPAS liên tục đổi mới và phát triển sản phẩm, dịch vụ thanh toán trong bối cảnh thị trường biến động nhanh chóng?</t>
  </si>
  <si>
    <t>Năng lực nghiên cứu, phát triển (R&amp;D) mạnh mẽ, khả năng thích ứng linh hoạt với công nghệ mới và hiểu biết sâu sắc về nhu cầu thị trường.</t>
  </si>
  <si>
    <t>Giữ vững các sản phẩm hiện có và hạn chế phát triển cái mới để giảm rủi ro.</t>
  </si>
  <si>
    <t>Tập trung hoàn toàn vào việc tăng doanh thu từ các dịch vụ truyền thống.</t>
  </si>
  <si>
    <t>Chỉ triển khai các sản phẩm đã được chứng minh thành công ở các thị trường khác.</t>
  </si>
  <si>
    <t>Để xử lý giao dịch chuyển tiền timeout, hệ thống ACH hỗ trợ các TCTV loại giao dịch nào dưới đây:</t>
  </si>
  <si>
    <t>Tất cả các đáp án đều đúng</t>
  </si>
  <si>
    <t>Hoàn trả GD.</t>
  </si>
  <si>
    <t>Yêu cầu gửi lại bản sao GD (request transaction copy)</t>
  </si>
  <si>
    <t>Yêu cầu truy vấn trạng thái giao dịch (investigation message)</t>
  </si>
  <si>
    <t>Dịch vụ “Chuyển mạch nội địa tại ATM/POS” của NAPAS cho phép người dùng thực hiện những loại giao dịch nào?</t>
  </si>
  <si>
    <t>Rút tiền, chuyển khoản, truy vấn số dư, thanh toán hàng hóa trên hệ thống ATM/POS</t>
  </si>
  <si>
    <t>Chỉ cho phép rút tiền tại các máy ATM của NAPAS</t>
  </si>
  <si>
    <t>Chỉ dùng để đổi mã PIN của thẻ quốc tế</t>
  </si>
  <si>
    <t>Chỉ áp dụng khi giao dịch bằng thẻ tín dụng quốc tế của ngân hàng nước ngoài</t>
  </si>
  <si>
    <t>Dịch vụ thanh toán PAYLATER có cho phép Khách hàng thực hiện thanh toán từng phần không?</t>
  </si>
  <si>
    <t>Không, Khách hàng bắt buộc phải thanh toán toàn bộ số tiền giao dịch</t>
  </si>
  <si>
    <t>Có, Khách hàng được phép thanh toán từng phần cho đến khi hoàn tất toàn bộ nghĩa vụ tài chính trong thời hạn quy định.</t>
  </si>
  <si>
    <t>Có, hệ thống sẽ tự động chia nhỏ khoản thanh toán và trừ dần vào tài khoản của Khách hàng theo chu kỳ đã đăng ký.</t>
  </si>
  <si>
    <t>Tùy Nhà cung cấp dịch vụ</t>
  </si>
  <si>
    <t>Khi khách hàng thực hiện giao dịch chuyển tiền nhanh liên ngân hàng 24/7, bước nào đảm bảo giao dịch được xử lý bảo mật?</t>
  </si>
  <si>
    <t>Xác thực người dùng tại ngân hàng khởi tạo thông qua: Mật khẩu, mã PIN; Sinh trắc học (vân tay, khuôn mặt); OTP (One-Time Password) qua SMS, app hoặc thiết bị token.</t>
  </si>
  <si>
    <t>Tự động mã hóa dữ liệu giao dịch tại ngân hàng thụ hưởng để bảo mật thông tin người nhận trước khi hiển thị trên hệ thống.</t>
  </si>
  <si>
    <t>Tạo mã giao dịch ngẫu nhiên cho từng lần chuyển tiền, được lưu trữ tạm thời tại hệ thống chuyển mạch để đảm bảo an toàn.</t>
  </si>
  <si>
    <t>Kiểm tra trạng thái tài khoản người nhận tại thời điểm tiếp nhận giao dịch để xác minh tính hợp lệ và bảo mật của lệnh chuyển tiền.</t>
  </si>
  <si>
    <t>Khi một ngân hàng thành viên muốn giới thiệu một sản phẩm thẻ mới có khả năng kết nối liên ngân hàng qua hệ thống NAPAS, họ phải tuân thủ quy trình nào trước tiên?'</t>
  </si>
  <si>
    <t>Hoàn thành các bài kiểm tra chứng nhận và tuân thủ (testing and certification) theo quy định của NAPAS.</t>
  </si>
  <si>
    <t>Thông báo cho các ngân hàng khác về tính năng của sản phẩm mới.</t>
  </si>
  <si>
    <t>Đăng ký tên sản phẩm với Ngân hàng Nhà nước.</t>
  </si>
  <si>
    <t>Gửi yêu cầu marketing trực tiếp đến NAPAS để quảng bá sản phẩm.</t>
  </si>
  <si>
    <t>Một nguyên lý cơ bản khi vận hành hệ thống thanh toán điện tử là:</t>
  </si>
  <si>
    <t>Hệ thống phải đảm bảo ghi nhận giao dịch theo đúng thời gian thực (real-time) hoặc theo lô (batch) theo quy trình.</t>
  </si>
  <si>
    <t>Tất cả giao dịch đều phải xử lý thủ công.</t>
  </si>
  <si>
    <t>Khách hàng tự nhập lệnh và không cần xác thực.</t>
  </si>
  <si>
    <t>Giao dịch chỉ được xử lý trong giờ hành chính.</t>
  </si>
  <si>
    <t>Napas triển khai dịch vụ Hỗ trợ thu hộ chi hộ với NCCDV theo những mô hình nào?</t>
  </si>
  <si>
    <t>NCCDV hợp tác kinh doanh và kết nối trực tiếp với NAPAS; NCCDV kết nối gián tiếp với NAPAS thông qua TGKN; NCCDV do TCTT phát triển, có kết nối trực tiếp với NAPAS</t>
  </si>
  <si>
    <t>NCCDV hợp tác kinh doanh và kết nối trực tiếp với NAPAS</t>
  </si>
  <si>
    <t>NCCDV hợp tác kinh doanh và kết nối trực tiếp với NAPAS; NCCDV kết nối gián tiếp với NAPAS thông qua TGKN</t>
  </si>
  <si>
    <t>NCCDV kết nối với hệ thống thanh toán quốc tế và chuyển tiếp yêu cầu thu hộ chi hộ về NAPAS qua đối tác liên quốc gia.</t>
  </si>
  <si>
    <t>Nguyên tắc vận hành chính của dịch vụ “Tap to Phone” là gì?</t>
  </si>
  <si>
    <t>Sử dụng thiết bị có NFC để chấp nhận thanh toán không tiếp xúc</t>
  </si>
  <si>
    <t>Dùng mã vạch giấy để quét tại máy POS truyền thống</t>
  </si>
  <si>
    <t>Chỉ hoạt động khi có kết nối Bluetooth với máy in hóa đơn</t>
  </si>
  <si>
    <t>Yêu cầu xác thực bằng vân tay của nhân viên cửa hàng</t>
  </si>
  <si>
    <t>Trong bối cảnh đẩy mạnh thanh toán không dùng tiền mặt, đâu là yếu tố then chốt để một sản phẩm dịch vụ thanh toán mới của NAPAS có thể đạt được sự chấp nhận rộng rãi trên thị trường?</t>
  </si>
  <si>
    <t>Sự tiện lợi, bảo mật cao, khả năng tương thích với nhiều thiết bị và mạng lưới chấp nhận rộng khắp.</t>
  </si>
  <si>
    <t>Chỉ tập trung vào việc giảm phí giao dịch cho người dùng cuối.</t>
  </si>
  <si>
    <t>Chi phí phát triển sản phẩm thấp và thời gian triển khai nhanh chóng.</t>
  </si>
  <si>
    <t>Ưu tiên hợp tác với một ngân hàng lớn duy nhất để triển khai.</t>
  </si>
  <si>
    <t>Trong dịch vụ chuyển tiền nhanh liên ngân hàng NAPAS 247, khi khách hàng thực hiện giao dịch chuyển tiền nhanh, bước nào đảm bảo giao dịch được xử lý chính xác, giảm rủi ro chuyển khoản nhầm?</t>
  </si>
  <si>
    <t>Bước xác thực thông tin thụ hưởng trước khi xác nhận chuyển khoản</t>
  </si>
  <si>
    <t>Bước nhập thông tin stk thụ hưởng</t>
  </si>
  <si>
    <t>Bước nhập số tiền</t>
  </si>
  <si>
    <t>Bước chọn ngân hàng thụ hưởng</t>
  </si>
  <si>
    <t>Trong Dịch vụ Hỗ trợ thu hộ, chi hộ dưới đây, vai trò nào không phải là của TCPL?</t>
  </si>
  <si>
    <t>Cung cấp hàng hóa, dịch vụ cho Khách hàng</t>
  </si>
  <si>
    <t>Phát triển giao diện tại các kênh giao dịch của TCPL để Khách hàng có thể dễ dàng thực hiện được giao dịch.</t>
  </si>
  <si>
    <t xml:space="preserve">Định danh, cấp phép và chuẩn chi cho các giao dịch thanh toán của Khách hàng. </t>
  </si>
  <si>
    <t>Tổ chức việc thanh toán và đảm bảo thanh toán cho NAPAS toàn bộ các giao dịch đã được TCPL cấp phép chuẩn chi theo báo cáo giao dịch của NAPAS.</t>
  </si>
  <si>
    <t>Trong giao dịch rút tiền mặt bằng thẻ nội địa tại ATM khác ngân hàng, bao gồm các luồng giao dịch nào bên dưới đây?
(1) Vấn tin
(2) Thanh toán 
(3) Rút tiền
(4) Mở khóa thẻ
(5) Đổi mã PIN</t>
  </si>
  <si>
    <t>(1), (2), (3)</t>
  </si>
  <si>
    <t>(1), (3), (4)</t>
  </si>
  <si>
    <t>(2), (5)</t>
  </si>
  <si>
    <t xml:space="preserve">Trong giao dịch rút tiền mặt bằng thẻ nội địa tại ATM khác ngân hàng, quy trình xử lý sẽ bao gồm các bước nào sau đây?
(1) Khách hàng thực hiện nhập PIN trên cây ATM của ngân hàng
(2) Ngân hàng gửi yêu cầu rút tiền kèm OTP để xác thực giao dịch tới Napas
(3) Napas quy đổi số tiền giao dịch từ USD sang VNĐ 
(4) Ngân hàng phát hành thẻ kiểm tra và hạch toán ghi nợ tài khoản khách hàng
(5) Ngân hàng phát hành thẻ phản hồi kết quả giao dịch rút tiền cho Napas
</t>
  </si>
  <si>
    <t>(1), (4), (5)</t>
  </si>
  <si>
    <t>(2), (4), (5)</t>
  </si>
  <si>
    <t>(3), (4), (5)</t>
  </si>
  <si>
    <t>Trong giao dịch thanh toán trực tuyến, lỗi nào KHÔNG xuất phát từ phía Khách hàng:</t>
  </si>
  <si>
    <t>Time out giao dịch</t>
  </si>
  <si>
    <t>Thẻ/Tài khoản bị khóa</t>
  </si>
  <si>
    <t>Tài khoản không đủ tiền</t>
  </si>
  <si>
    <t xml:space="preserve">Thẻ chưa đăng ký sử dụng dịch vụ giao dịch qua Internet </t>
  </si>
  <si>
    <t>Trong hệ thống Napas, khi khách hàng thực hiện giao dịch chuyển tiền nhanh 24/7, bước nào đảm bảo giao dịch được xử lý an toàn và chính xác?</t>
  </si>
  <si>
    <t>Thông tin giao dịch được xác thực và kiểm tra tại tổ chức phát hành và tổ chức thụ hưởng theo thời gian thực (real-time)</t>
  </si>
  <si>
    <t>Giao dịch được lưu trên hệ thống POS để thực hiện đối soát</t>
  </si>
  <si>
    <t>Giao dịch được gửi đến tổ chức phát hành để chờ phê duyệt tập trung</t>
  </si>
  <si>
    <t>Hệ thống chỉ kiểm tra mã ngân hàng và chuyển tiền ngay lập tức, không xác minh tài khoản người nhận</t>
  </si>
  <si>
    <t>Trong hệ thống Napas, khi khách hàng thực hiện giao dịch chuyển tiền nhanh NAPAS 24/7, bước nào đảm bảo thực hiện bởi chủ tài khoản?</t>
  </si>
  <si>
    <t>Xác thực khách hàng</t>
  </si>
  <si>
    <t>Kiểm tra số dư tài khoản</t>
  </si>
  <si>
    <t>Mã hóa và bảo mật dữ liệu</t>
  </si>
  <si>
    <t>Xử lý giao dịch</t>
  </si>
  <si>
    <t xml:space="preserve">Trong mô hình kết nối online của dịch vụ Hỗ trợ thu hộ chi hộ, quy trình giao dịch được chia ra thành các quy trình như thế nào trong TLSP?
</t>
  </si>
  <si>
    <t xml:space="preserve">Yêu cầu thanh toán kèm số tiền; Yêu cầu thanh toán không kèm số tiền; Yêu cầu thanh toán kèm số tiền, NAPAS tự tạo và gửi bản tin truy vấn hóa đơn/dịch vụ cho NCCDV và Yêu cầu thanh toán nhiều hóa đơn </t>
  </si>
  <si>
    <t>Yêu cầu thanh toán kèm số tiền và Yêu cầu thanh toán không kèm số tiền và Yêu cầu thanh toán nhiều hóa đơn</t>
  </si>
  <si>
    <t>Yêu cầu thanh toán kèm số tiền và Yêu cầu thanh toán không kèm số tiền</t>
  </si>
  <si>
    <t>Yêu cầu thanh toán kèm số tiền, Yêu cầu thanh toán không kèm số tiền và Yêu cầu thanh toán kèm số tiền, NAPAS tự tạo và gửi bản tin truy vấn hóa đơn/dịch vụ cho NCCDV</t>
  </si>
  <si>
    <t>Gửi yêu cầu rút tiền → Chuyển tiếp qua Napas → Ngân hàng phát hành xác thực → ATM cấp tiền</t>
  </si>
  <si>
    <t>Xác thực mã PIN → Ghi nợ tài khoản → Nhận tiền tại ATM</t>
  </si>
  <si>
    <t>ATM nhận yêu cầu → Napas ghi nhận → Ghi có vào tài khoản của người thụ hưởng</t>
  </si>
  <si>
    <t>ATM đối chiếu số dư → Lưu trữ tạm thời yêu cầu → Giải ngân vào cuối ngày</t>
  </si>
  <si>
    <t>Trong quy trình giao dịch của dịch vụ Hỗ trợ thu hộ chi hộ, TCPL cần thực hiện các bước nào?</t>
  </si>
  <si>
    <t>Gửi yêu cầu truy vấn hóa đơn/dịch vụ, Hiển thị kết quả truy vấn, Kiểm tra điều kiện giao dịch, trừ/thu tiền KH, gửi lệnh thanh toán tới NP, thông báo kết quả giao dịch tới KH và hoàn tiền cho KH (nếu giao dịch không thành công và nhận được phản hồi mã lỗi tường minh từ NP)</t>
  </si>
  <si>
    <t>Gửi yêu cầu truy vấn hóa đơn/dịch vụ, Hiển thị kết quả truy vấn, Kiểm tra điều kiện giao dịch, trừ/thu tiền KH, thông báo kết quả giao dịch tới KH</t>
  </si>
  <si>
    <t>Gửi yêu cầu truy vấn hóa đơn/dịch vụ, Gửi yêu cầu thanh toán, thông báo kết quả giao dịch tới KH</t>
  </si>
  <si>
    <t>Gửi yêu cầu truy vấn hóa đơn/dịch vụ, Hiển thị kết quả truy vấn, Kiểm tra điều kiện giao dịch, trừ/thu tiền KH, gửi lệnh thanh toán tới NP,  thông báo kết quả giao dịch tới KH</t>
  </si>
  <si>
    <t>Trong quy trình thanh toán thẻ, ngân hàng phát hành thẻ chịu trách nhiệm xác thực và phê duyệt giao dịch, đúng hay sai?</t>
  </si>
  <si>
    <t xml:space="preserve">Đúng </t>
  </si>
  <si>
    <t>Sai</t>
  </si>
  <si>
    <t>Trong quy trình xử lý giao dịch thanh toán thẻ qua hệ thống Napas, đâu là bước xảy ra sau khi khách hàng thực hiện giao dịch thanh toán, thu ngân cà thẻ trên POS?</t>
  </si>
  <si>
    <t>Thông tin giao dịch được gửi đến tổ chức phát hành để xác thực và phê duyệt</t>
  </si>
  <si>
    <t xml:space="preserve"> Hệ thống POS in hóa đơn thanh toán và hoàn tất giao dịch</t>
  </si>
  <si>
    <t>Napas chuyển kết quả giao dịch trực tiếp cho khách hàng</t>
  </si>
  <si>
    <t>Giao dịch được lưu lại để xử lý sau 24 giờ nhằm đảm bảo an toàn</t>
  </si>
  <si>
    <t>Trong quy trình xử lý một giao dịch thẻ tại máy POS, vai trò chính của NAPAS là gì?</t>
  </si>
  <si>
    <t>Đóng vai trò là trung gian chuyển mạch, kết nối và xử lý giao dịch giữa ngân hàng phát hành và ngân hàng thanh toán.</t>
  </si>
  <si>
    <t>Cung cấp máy POS và hỗ trợ kỹ thuật cho các đơn vị chấp nhận thẻ.</t>
  </si>
  <si>
    <t>Thiết lập hạn mức tín dụng cho chủ thẻ.</t>
  </si>
  <si>
    <t>Trực tiếp phát hành thẻ cho người dùng cuối.</t>
  </si>
  <si>
    <t>Trong quyết toán giao dịch thanh toán trực tuyến thẻ Nội địa, dữ liệu giao dịch của bên nào là gốc
1.	Dữ liệu tại NAPAS
2.	Dữ liệu tại NHPH
3.	Dữ liệu tại ĐVCNTT</t>
  </si>
  <si>
    <t>Với dịch vụ chuyển tiền nhanh NAPAS247, việc TCPH gửi yêu cầu truy vấn thông tin của chủ tài khoản/thẻ/ví điện tử đích có là yếu tố bắt buộc. Câu trả lời trên đúng hay sai?
1. Đúng
2. Sai.</t>
  </si>
  <si>
    <t>Với giao dịch chuyển tiền, nguyên tắc Quyết toán của Napas là gì
1)	Quyết toán với giao dịch thành công
2)	Quyết toán với giao dịch thành công và giao dịch timeout
3)	Quyết toán với giao dịch thành công, giao dịch timeout và giao dịch không thành công tường minh</t>
  </si>
  <si>
    <t xml:space="preserve"> Để hệ thống thiết bị chấp nhận thanh toán (POS) của Merchant chấp nhận thanh toán apple pay cho thẻ NAPAS thì thiết bị cần đáp ứng những yếu tố nào sau đây:
1. Thiết bị phải cho phép chấp nhận giao dịch contacless NFC 
2. Ngân hàng thanh toán của Merchant có máy POS cần tham gia dịch vụ thanh toán POS với NAPAS và cập nhật hệ thống ACQ để đáp ứng thanh toán apple Pay (CVM limit, TAC...)
3. Ngân hàng phải là thành viên của TCT Quốc tế.
4. Mọi giao dịch được thực hiện thông qua mã OTP SMS</t>
  </si>
  <si>
    <t>1, 2</t>
  </si>
  <si>
    <t xml:space="preserve"> Trường hợp TCTV tham gia với vai trò là TCNL của giao dịch thanh toán bằng mã QR (VietQRPay), TCTV có  quyền và trách nhiệm gì?
 1) Thực hiện tạo mới, cập nhật và quản lý mã QR 
2) Thực hiện tiếp nhận các yêu cầu cung cấp thông tin, tra soát khiếu nại từ KH.
3) Hỗ trợ cung cấp thông tin trả lời tra soát cho TCNL.
4) Thực hiện tạo mới, cập nhật và quản lý mã QR cho toàn bộ các ĐVCNTT theo đúng tiêu chuẩn nghiệp vụ, kỹ thuật tại Bộ tiêu chuẩn kỹ thuật thanh toán bằng mã QR để ĐVCNTT chấp nhận và xử lý các giao dịch thanh toán bằng mã QR được thực hiện tại các ĐVCNTT thuộc mạng lưới của TCTV.</t>
  </si>
  <si>
    <t>Điểm khác biệt giữa dịch vụ “Rút tiền từ tài khoản ví điện tử” và “Rút tiền bằng mã VietQR (VietQRCash)” là gì?</t>
  </si>
  <si>
    <t>Rút tiền bằng mã VietQR không cần dùng thẻ, trong khi rút từ ví điện tử chuyển tiền về tài khoản ngân hàng</t>
  </si>
  <si>
    <t>Rút bằng VietQR chỉ dùng được tại quầy giao dịch, còn rút từ ví dùng được tại ATM</t>
  </si>
  <si>
    <t>Rút tiền từ ví điện tử yêu cầu thẻ vật lý NAPAS để hoàn tất giao dịch trong khi rút tiền bằng mã VietQR không cần.</t>
  </si>
  <si>
    <t>Rút từ ví điện tử chỉ dùng cho thẻ tín dụng quốc tế, còn VietQR dùng cho thẻ nội địa</t>
  </si>
  <si>
    <t>Khi đánh giá hệ thống thanh toán của các tổ chức thành viên, yếu tố nào sau đây có ảnh hưởng lớn nhất đến khả năng tích hợp và tối ưu hóa trong môi trường thời gian thực?</t>
  </si>
  <si>
    <t>Tốc độ xử lý giao dịch và khả năng xử lý giao dịch theo thời gian thực.</t>
  </si>
  <si>
    <t xml:space="preserve"> Chính sách phí giao dịch.</t>
  </si>
  <si>
    <t>Mức độ bảo mật và khả năng chống gian lận trong thanh toán.</t>
  </si>
  <si>
    <t>Số lượng giao dịch tối đa mà hệ thống có thể xử lý trong một ngày.</t>
  </si>
  <si>
    <t>Khi một Công ty muốn triển khai dịch vụ thanh toán Apple Pay qua hệ thống của Napas, yếu tố quan trọng nào cần được đảm bảo?
(1) Hệ thống Công ty phải hỗ trợ công nghệ tokenization để bảo vệ thông tin thẻ.
(2) Đối tác Công ty phải có hợp tác trực tiếp với Apple để cung cấp dịch vụ.
(3) Công ty phải đảm bảo tuân thủ tiêu chuẩn bảo mật PCI-DSS.
(4) Khách hàng phải sử dụng thiết bị có hỗ trợ NFC để thực hiện giao dịch.
(5) Công ty phải tích hợp trực tiếp với hệ thống cổng thanh toán quốc tế.
(6) Mọi giao dịch phải được xác thực thông qua mã OTP SMS.</t>
  </si>
  <si>
    <t>Khi một ĐVCNTT/TGTT muốn triển khai dịch vụ thanh toán trực tuyến Apple Pay qua hệ thống của Napas, yếu tố quan trọng nào cần được đảm bảo?
(1) Hệ thống ĐVCNTT/TGTT phải hỗ trợ thực hiện số hóa, tạo token  để bảo vệ thông tin thẻ.
(2) Đối tác ĐVCNTT/TGTT phải có hợp tác trực tiếp với Apple để cung cấp dịch vụ.
(3) Khách hàng phải sử dụng thiết bị có hỗ trợ NFC để thực hiện giao dịch.
(4) ĐVCNTT/TGTT phải tích hợp trực tiếp với hệ thống cổng thanh toán Napas.
(5) Mọi giao dịch phải được xác thực thông qua mã OTP SMS.</t>
  </si>
  <si>
    <t xml:space="preserve">Khi một ngân hàng muốn triển khai dịch vụ thanh toán Apple Pay qua hệ thống của Napas, những yếu tố quan trọng nào cần được đảm bảo?
(1) Hệ thống ngân hàng phải hỗ trợ công nghệ tokenization để bảo vệ thông tin thẻ.
(2) Ngân hàng phải có hợp tác trực tiếp với Apple để cung cấp dịch vụ.
(3) Ngân hàng phải kết nối vơi hệ thống chuyển mạch tài chính của Napas.
(4) Khách hàng phải sử dụng thiết bị có hỗ trợ NFC để thực hiện giao dịch.
(5) Ngân hàng phải tích hợp trực tiếp với hệ thống cổng thanh toán quốc tế.
(6) Mọi giao dịch phải được xác thực thông qua mã OTP </t>
  </si>
  <si>
    <t>(1); (2); (3); (6)</t>
  </si>
  <si>
    <t>Khi một Tổ chức thành viên muốn triển khai dịch vụ thanh toán Apple Pay qua Napas, (những) yếu tố quan trọng nào cần được đảm bảo?
(1) Hệ thống TCTV phải hỗ trợ công nghệ tokenization.
(2) TCTV phải có hợp tác trực tiếp với Apple để cung cấp dịch vụ.
(3) TCTV phải đảm bảo tuân thủ tiêu chuẩn bảo mật PCI-DSS.
(4) Khách hàng phải sử dụng bất kỳ thiết bị nào có hỗ trợ NFC để thực hiện giao dịch.
(5) TCTV phải tích hợp trực tiếp với hệ thống cổng thanh toán quốc tế.
(6) Mọi giao dịch phải được xác thực thông qua mã OTP SMS.</t>
  </si>
  <si>
    <t>1, 3</t>
  </si>
  <si>
    <t xml:space="preserve">Khi triển khai dịch vụ thanh toán của Napas, có vấn đề nghiệp vụ nào có thể phát sinh giữa các Tổ chức thành viên với Napas cần xử lý? </t>
  </si>
  <si>
    <t xml:space="preserve">1. Kết nối kỹ thuật và tích hợp hệ thống
2.Thống nhất file báo cáo thanh quyết toán
3. Đối soát chênh lệch số liệu
4. Tra soát các giao dịch gian lận, giả mạo
5. Xử lý khủng hoảng truyền thông khi có lỗi kết nối hệ thống xảy ra diện rộng </t>
  </si>
  <si>
    <t>Khi triển khai dịch vụ thanh toán của Napas, một số vấn đề nghiệp vụ nào có thể phát sinh giữa các  Tổ chức thành viên?
1. Đối soát, tra soát
2.Quản lý rủi ro giao dịch 
3.Cho vay
4. Hỗ trợ dịch vụ và xử lý sự cố</t>
  </si>
  <si>
    <t>1, 2, 4</t>
  </si>
  <si>
    <t>Khi triển khai dịch vụ thanh toán của Napas, một số vấn đề nghiệp vụ nào có thể phát sinh giữa các Công ty thành viên?</t>
  </si>
  <si>
    <t>Phát sinh sai lệch trong đối soát và quyết toán giao dịch giữa các bên</t>
  </si>
  <si>
    <t>Tổ chức phát hành không có hệ thống nhận diện khuôn mặt khi thanh toán</t>
  </si>
  <si>
    <t>Tất cả Công ty đều có quy trình xử lý giao dịch giống nhau nên không có vấn đề gì phát sinh.</t>
  </si>
  <si>
    <t xml:space="preserve">Người dùng không cập nhật/cài được ứng dụng thanh toán </t>
  </si>
  <si>
    <t>Lợi ích chính của dịch vụ “Tap to Phone” đối với đơn vị chấp nhận thanh toán là gì?</t>
  </si>
  <si>
    <t>Triển khai nhanh, tiết kiệm chi phí thiết bị và quản lý thuận tiện qua phần mềm</t>
  </si>
  <si>
    <t>Cho phép in hóa đơn giấy trực tiếp từ điện thoại của khách hàng</t>
  </si>
  <si>
    <t>Chỉ hoạt động với thiết bị có hệ điều hành iOS hoặc máy POS truyền thống</t>
  </si>
  <si>
    <t>Yêu cầu phải tích hợp riêng biệt từng ngân hàng để xử lý giao dịch</t>
  </si>
  <si>
    <t>Mô hình thanh toán kèm số tiền và mô hình thanh toán không kèm số tiền khác nhau ở điểm nào?
(1) Không có điểm nào khác, cả 2 đều là yêu cầu thanh toán
(2) Khác nhau ở mô hình thanh toán không kèm số tiền sẽ có thêm bước truy vấn hóa đơn dịch vụ trước khi thực hiện thanh toán còn mô hình thanh toán kèm số tiền thì KH có thể nhập mã hóa đơn và số tiền muốn thanh toán rồi thực hiện yêu cầu
(3) Khác nhau ở điểm mô hình thanh toán kèm số tiền KH không điền số tiền</t>
  </si>
  <si>
    <t>Nêu sự khác biệt giữa nghiệp vụ thanh quyết toán cho TCTV của Napas và nghiệp vụ thanh toán trong các doanh nghiệp?</t>
  </si>
  <si>
    <t xml:space="preserve">Nghiệp vụ thanh quyết toán cho TCTV của Napas: là quá trình tổng hợp, đối soát và tính toán nghĩa vụ thanh toán giữa các bên (ngân hàng, TGTT) tham gia kết nối với hệ thống Napas
Nghiệp vụ thanh toán trong các doanh nghiệp là một phần của hoạt động tài chính – kế toán doanh nghiệp, liên quan đến việc quản lý và thực hiện các giao dịch chi trả và thu tiền trong quá trình hoạt động, sản xuất, kinh doanh của doanh nghiệp </t>
  </si>
  <si>
    <t>Nguyên lý hoạt động của dịch vụ “Nạp tiền điện tử” của NAPAS dựa trên yếu tố nào?</t>
  </si>
  <si>
    <t>Cho phép nạp tiền vào các tài khoản trả trước như điện thoại, dịch vụ số thông qua kênh ngân hàng</t>
  </si>
  <si>
    <t>Chuyển khoản trực tiếp giữa hai khách hàng NAPAS mà không qua ngân hàng</t>
  </si>
  <si>
    <t>Rút tiền mặt từ ví điện tử tại điểm giao dịch của NAPAS</t>
  </si>
  <si>
    <t>Chỉ cho phép nạp tiền qua kênh thẻ tín dụng quốc tế</t>
  </si>
  <si>
    <t>So sánh lơi ích khi Napas thực hiện kết nối dịch vụ qua TGKN và qua NCCDV trực tiếp có gì khác nhau về mặt triển khai dịch vụ?</t>
  </si>
  <si>
    <t>Kết nối qua TGKN có thể triển khai được nhiều dịch vụ cùng một lúc trong khi kết nối qua từng NCCDV trực tiếp chỉ có thể triển khai từng dịch vụ một</t>
  </si>
  <si>
    <t>Chỉ khác nhau về đối tượng kết nối, về mặt triển khai dịch vụ là như nhau</t>
  </si>
  <si>
    <t>TGKN không thực hiện thanh quyết toán, đối soát, tra soát với Napas</t>
  </si>
  <si>
    <t>Triển khai dịch vụ qua NCCDV trực tiếp đơn giản hơn</t>
  </si>
  <si>
    <t>So với dịch vụ “Nạp tiền điện tử”, dịch vụ “Nạp tiền vào tài khoản ví điện tử” của NAPAS có điểm khác biệt nào sau đây?</t>
  </si>
  <si>
    <t>“Nạp tiền vào ví điện tử” hướng đến người dùng cá nhân nạp tiền từ tài khoản ngân hàng vào ví, trong khi “Nạp tiền điện tử” dùng để nạp vào tài khoản trả trước như điện thoại, truyền hình số…</t>
  </si>
  <si>
    <t>Cả hai đều chỉ áp dụng cho các tổ chức cung cấp dịch vụ bảo hiểm</t>
  </si>
  <si>
    <t>Dịch vụ “Nạp tiền vào ví” yêu cầu phải có thẻ tín dụng quốc tế, còn “Nạp tiền điện tử” thì không</t>
  </si>
  <si>
    <t>Cả hai dịch vụ đều bắt buộc phải sử dụng mã VietQR trong quá trình giao dịch</t>
  </si>
  <si>
    <t xml:space="preserve">Sự khác biệt chính giữa dịch vụ chuyển tiền nhanh Napas 24/7 và dịch vụ thanh toán thẻ nội địa qua Napas là gì?
</t>
  </si>
  <si>
    <t>Chuyển tiền nhanh Napas 24/7 chuyển khoản giữa tài khoản, còn thanh toán thẻ nội địa dùng thẻ để thanh toán hàng hóa, dịch vụ.</t>
  </si>
  <si>
    <t>Sự khác biệt chính giữa dịch vụ chuyển tiền nhanh Napas 24/7 và dịch vụ thanh toán thẻ nội địa qua Napas là gì?
1. Dịch vụ chuyển tiền nhanh Napas 24/7 dùng để chuyển tiền giữa các tài khoản ngân hàng, còn dịch vụ thanh toán thẻ nội địa qua Napas dùng để thanh toán hàng hóa, dịch vụ.
2. Dịch vụ chuyển tiền nhanh Napas 24/7 chỉ có thể thực hiện vào giờ hành chính, trong khi thanh toán thẻ nội địa qua Napas có thể thực hiện 24/7.
3. Dịch vụ chuyển tiền nhanh Napas 24/7 cho phép bạn gửi tiền đến bất kỳ ai có tài khoản ngân hàng, còn thanh toán thẻ nội địa qua Napas sử dụng thẻ để thực hiện giao dịch.
4. Dịch vụ chuyển tiền nhanh Napas 24/7 và thanh toán thẻ nội địa qua Napas đều là cùng một dịch vụ, chỉ khác tên gọi tùy theo ngân hàng cung cấp.</t>
  </si>
  <si>
    <t>Sự khác biệt chính giữa dịch vụ chuyển tiền nhanh Napas 24/7 và dịch vụ thanh toán trực tuyến thẻ nội địa qua Napas là gì?
(1). Dịch vụ thanh toán thẻ nội địa dùng để thanh toán hàng hóa dịch vụ, Dịch vụ chuyển tiền nhanh Napas 24/7 chủ yếu dùng để chuyển tiền giữa các tài khoản ngân hàng khác nhau. 
(2). Chỉ có dịch vụ chuyển tiền mới thực hiện được 247
(3) Chỉ có dịch vụ thanh toán trực tuyến thực hiện được 247
(4) Cả hai dịch vụ đều yêu cầu người dùng phải có tài khoản ngân hàng</t>
  </si>
  <si>
    <t>TCTV thông tin rằng khách hàng thực hiện thanh toán qua QR Pay nhưng ĐVCNTT báo không nhận được tiền/thông báo giao dịch thành công. Trong khi đó, hệ thống TCTV đã ghi nhận giao dịch đã thành công.
Vậy, đâu là nguyên nhân nghiệp vụ phổ biến có thể gây ra tình huống trên?</t>
  </si>
  <si>
    <t xml:space="preserve">Giao dịch bị ghi nhận thành công do phía tổ chức phát lệnh, nhưng chưa được chuyển sang hệ thống Napas và tổ chức nhận lệnh </t>
  </si>
  <si>
    <t>Giao dịch thực hiện trên mã QR động nên cần thời gian đối soát lâu hơn</t>
  </si>
  <si>
    <t>Do lỗi liên quan đến thẻ</t>
  </si>
  <si>
    <t>Do khách hàng chưa kích hoạt chức năng thanh toán QR</t>
  </si>
  <si>
    <t>Yếu tố nào sau đây có ảnh hưởng lớn nhất đến khả năng tích hợp và vận hành hiệu quả của dịch vụ hợp tác (cụ thể là dịch vụ VietQRPay). Lưu ý lựa chọn 3 yếu tố mà bạn đánh giá cao nhất?
(1) Có đội ngũ nhân sự am hiểu công nghệ và phối hợp tích cực, triển khai nhanh, hỗ trợ tối đã trong các yêu cầu triển khai/cập nhật thay đổi của NAPAS. 
(2) Mức độ bảo mật và khả năng chống gian lận trong thanh toán.
(3) Số lượng giao dịch tối đa mà hệ thống có thể xử lý trong một ngày.
(4) Quy trình kiểm tra và xác nhận giao dịch của TCTV 
(5) Có mạng lưới ĐVCNT hiệu quả, rộng khắp.
(6) TCTV chú trọng trong công tác bán hàng và có các chính sách bán hàng và các chương trình khuyến mãi hấp dẫn</t>
  </si>
  <si>
    <t>bạn hiểu thế nào về hệ thống thanh toán của một ngân hàng là TCTV Napas?</t>
  </si>
  <si>
    <t xml:space="preserve">Hệ thống thanh toán của một ngân hàng là tập hợp các quy trình, công nghệ và hạ tầng kỹ thuật cho phép thực hiện, xử lý và quản lý các giao dịch tài chính giữa khách hàng, tổ chức và các ngân hàng khác.
Hệ thống thanh toán ngân hàng có thể kể đến các thành phần chính gồm: hệ thống core banking (hệ thống lõi xử lý tài khoản, số dư, giao dịch); hệ thống payment gateway kết nối với các hệ thống thanh toán bên ngoài như Napas, Swift, Visa/ Master ..; hệ thống chuyển tiền nội bộ (ck đến số tk mở tại cùng 1 đơn vị); hệ thống thanh toán liên ngân hàng (kết nối song biên, chuyển nhanh Napas 247..); hệ thống xác thực và bảo mật; hệ thống đối soát, tra soát, quản lý giao dịch gian lận/ giả mạo. </t>
  </si>
  <si>
    <t>Hệ thống thanh toán qua QR Code của một ngân hàng đối tác đang được triển khai tại các cửa hàng bán lẻ lớn. Tuy nhiên, ngân hàng nhận thấy rằng trong giờ cao điểm, khi số lượng giao dịch tăng lên, tốc độ xử lý giao dịch bị chậm, dẫn đến sự gián đoạn trong trải nghiệm thanh toán của khách hàng. Cụ thể, có những trường hợp giao dịch không được hoàn tất hoặc mất nhiều thời gian để xác nhận, gây ảnh hưởng đến hiệu quả kinh doanh của các cửa hàng. Sau khi điều tra, các nguyên nhân tiềm ẩn được xác định là độ trễ trong quá trình mã hóa và giải mã QR Code, chưa tối ưu logic xử lý trong hệ thống.
Dựa trên thông tin trên, Bạn sẽ đưa ra giải pháp nào để cải thiện hiệu suất hệ thống thanh toán QR Code này?
(1) Tối ưu thuật toán mã hóa/giải mã QR Code để giảm thời gian xử lý mỗi giao dịch
(2) Nâng cấp hạ tầng hệ thống (server, băng thông, cơ sở dữ liệu) tại các điểm tiếp nhận giao dịch lớn
(3) Bổ sung cơ chế batch xử lý QR Code theo giờ cố định để giảm áp lực real-time
(4) Tích hợp chức năng retry giao dịch và xác thực ngắt quãng để giảm lỗi tạm thời
(5) Giảm lượng giao dịch bằng cách giới hạn người dùng tại khung giờ cao điểm
*Chọn tổ hợp đáp án đúng</t>
  </si>
  <si>
    <t>(1), (2), (4)</t>
  </si>
  <si>
    <t>(2), (3), (5)</t>
  </si>
  <si>
    <t>(2), (3), (4)</t>
  </si>
  <si>
    <t>Một công ty thương mại điện tử đang mở rộng thị trường sang Thái Lan. Đâu là giải pháp Napas phù hợp nhất để tối ưu thanh toán cho khách hàng cá nhân quốc tế và trong nước?</t>
  </si>
  <si>
    <t>Kết hợp dịch vụ Cổng thanh toán Napas và thanh toán bằng mã VietQR triển khai tại điểm bán trong và ngoài nước</t>
  </si>
  <si>
    <t>Triển khai dịch vụ rút tiền bằng mã VietQR vì phổ biến trong nước</t>
  </si>
  <si>
    <t>Áp dụng dịch vụ chuyển mạch nội địa để xử lý thanh toán thẻ quốc tế</t>
  </si>
  <si>
    <t>Dùng dịch vụ Tap to Phone vì có thể hỗ trợ trực tiếp thẻ quốc tế</t>
  </si>
  <si>
    <t>Một đối tác cung cấp nền tảng thương mại điện tử hoạt động cả ở Việt Nam và quốc tế yêu cầu tích hợp giải pháp thanh toán đa phương tiện (thẻ, mã QR, ví điện tử) có tính bảo mật cao, hỗ trợ khách hàng đa dạng. Đâu là phương án phù hợp nhất để triển khai trong môi trường tích hợp với hệ thống các ngân hàng thành viên của NAPAS?</t>
  </si>
  <si>
    <t>Tích hợp cổng thanh toán Napas kết hợp thanh toán bằng mã VietQR và các dịch vụ chuyển mạch nội địa để tối ưu hóa trải nghiệm và khả năng thanh toán xuyên biên giới</t>
  </si>
  <si>
    <t>Chỉ tích hợp dịch vụ Apple Pay vì có tính bảo mật cao và phổ biến trên thiết bị cá nhân</t>
  </si>
  <si>
    <t>Sử dụng riêng dịch vụ rút tiền bằng mã VietQR vì hỗ trợ nhiều ATM ngân hàng</t>
  </si>
  <si>
    <t>Tích hợp dịch vụ nạp tiền điện tử cho các tài khoản trả trước để thay thế thanh toán thẻ</t>
  </si>
  <si>
    <t>Một tổ chức thành viên của Napas đang sử dụng hệ thống thanh toán nội bộ được phát triển riêng, với cơ chế xử lý giao dịch theo lô vào cuối ngày (batch processing). Trong khi đó, Napas yêu cầu các đơn vị tích hợp phải hỗ trợ xử lý giao dịch thời gian thực (real-time processing) cho các dịch vụ chuyển tiền 24/7 và thanh toán QR. Sau quá trình thử nghiệm tích hợp, phát sinh các vấn đề sau:
- Giao dịch xử lý chậm, không đúng thời gian thực
- Dữ liệu giao dịch không khớp định dạng thông điệp theo quy định của Napas.
- Tỷ lệ lỗi cao
Vậy, giải pháp tối ưu nào cần được đề xuất để đảm bảo khả năng tích hợp thành công và vận hành ổn định giữa hai hệ thống là gì?</t>
  </si>
  <si>
    <t>Yêu cầu đối tác nâng cấp hệ thống lên xử lý giao dịch thời gian thực và chuẩn hóa dữ liệu theo đúng tiêu chuẩn kỹ thuật của Napas.</t>
  </si>
  <si>
    <t>Chuyển các giao dịch của đối tác sang xử lý thủ công trong thời gian đầu để giảm lỗi</t>
  </si>
  <si>
    <t>Tạm dừng triển khai tích hợp cho đến khi đối tác thay toàn bộ hệ thống hiện tại</t>
  </si>
  <si>
    <t>Điều chỉnh hệ thống Napas để tương thích với cơ chế xử lý của đối tác</t>
  </si>
  <si>
    <t>Napas đang đánh giá khả năng tích hợp hệ thống thanh toán của một ngân hàng đối tác. Ngân hàng này sử dụng hệ thống thanh toán quốc tế SWIFT cho chuyển khoản quốc tế, trong khi một ngân hàng khác sử dụng hệ thống thanh toán nội bộ (domestic payment system) để xử lý giao dịch nội địa. Sau khi phân tích, bạn nhận thấy rằng cả hai hệ thống đều có những ưu điểm và hạn chế riêng.
Với những dữ liệu trên, giải pháp tối ưu cho việc tích hợp giữa hai hệ thống này là gì?</t>
  </si>
  <si>
    <t>Triển khai một lớp tích hợp trung gian có khả năng chuẩn hóa định dạng dữ liệu, đồng bộ quy trình xác thực, và tách biệt xử lý giao dịch nội địa và quốc tế theo logic hệ thống.</t>
  </si>
  <si>
    <t>Đảm bảo tích hợp hai hệ thống thanh toán để giao dịch quốc tế có thể được xử lý qua hệ thống thanh toán nội bộ, giúp giảm chi phí chuyển tiền quốc tế.</t>
  </si>
  <si>
    <t>Tích hợp cả hai hệ thống vào một giao diện quản lý duy nhất để theo dõi và quản lý tất cả các giao dịch mà không cần thay đổi hệ thống cơ bản.</t>
  </si>
  <si>
    <t>Tích hợp SWIFT vào hệ thống thanh toán nội bộ nhưng chỉ cho phép các giao dịch lớn, còn các giao dịch nhỏ sẽ tiếp tục được xử lý qua hệ thống nội bộ.</t>
  </si>
  <si>
    <t>Napas đang triển khai dịch vụ thanh toán QR xuyên biên giới với các tổ chức chuyển mạch tại các quốc gia. Tuy nhiên, hệ thống gặp một số khó khăn khi xử lý các giao dịch ở các khu vực có hạ tầng internet không ổn định hoặc khi có sự cố xảy ra trong quá trình giao dịch, dẫn đến giao dịch không thể hoàn tất hoặc bị lỗi. Đặc biệt, hệ thống hiện tại thiếu khả năng tự động phát hiện và khắc phục sự cố, đồng thời không hỗ trợ tính năng tối ưu hóa giao dịch dựa trên tình trạng mạng.
Trong tình huống này, để cải thiện hiệu quả của hệ thống và giảm thiểu rủi ro gián đoạn giao dịch, Bạn sẽ thực hiện những giải pháp nào?
(1) Duy trì hệ thống hiện tại và chỉ nâng cấp khi có yêu cầu từ các đối tác quốc tế.
(2) Triển khai tính năng tự động phát hiện và khắc phục sự cố để cải thiện độ ổn định.
(3) Tích hợp các công cụ định tuyến thông minh để tối ưu hóa giao dịch dựa trên tình trạng mạng hiện tại, đảm bảo giao dịch diễn ra nhanh chóng và chính xác.
(4) Đầu tư vào hạ tầng kết nối và hệ thống giám sát mạng để đảm bảo giao dịch không bị gián đoạn
(5) Ưu tiên nâng cấp giao diện người dùng để cải thiện trải nghiệm thay vì thay đổi kiến trúc hệ thống.
(6) Tạm thời tắt tính năng thanh toán QR tại các khu vực có mạng yếu để tránh phát sinh lỗi giao dịch.
*Chọn tổ hợp đáp án đúng</t>
  </si>
  <si>
    <t>(1), (5), (6)</t>
  </si>
  <si>
    <t>(3), (5), (6)</t>
  </si>
  <si>
    <t>Napas đang triển khai hệ thống thanh toán qua di động với công nghệ NFC (Near Field Communication) tại các điểm chấp nhận thanh toán (POS) ở Việt Nam. Tuy nhiên, hệ thống gặp vấn đề trong việc kết nối với một số thiết bị POS cũ của các đối tác ngân hàng, đặc biệt là trong các giao dịch quốc tế. Các vấn đề chính bao gồm độ trễ khi giao dịch và không thể xác thực chính xác thông tin thẻ khi thẻ được phát hành ở các quốc gia khác. Hệ thống yêu cầu các tính năng bảo mật cao như mã hóa dữ liệu và tokenization để đảm bảo an toàn thông tin thẻ.
Để giải quyết những vấn đề này, Anh/Chị cần thực hiện những biện pháp nào trong việc cải thiện hệ thống và mở rộng khả năng tích hợp?
(1) Cập nhật phần mềm POS để tương thích với công nghệ NFC và tối ưu hóa quy trình xác thực thông tin thẻ khi giao dịch quốc tế.
(2) Dừng triển khai công nghệ NFC và chuyển sang các phương thức thanh toán khác để tránh các vấn đề tương thích.
(3) Triển khai công nghệ tokenization và mã hóa mạnh hơn để bảo vệ thông tin thẻ trong các giao dịch, đồng thời tích hợp hệ thống bảo mật đa yếu tố (MFA) cho các giao dịch quốc tế.
(4) Yêu cầu các đối tác ngân hàng nâng cấp thiết bị POS của họ để hỗ trợ công nghệ NFC và các tiêu chuẩn bảo mật quốc tế.
(5) Có thể triển khai dịch vụ thử nghiệm với khách hàng nếu hệ thống đã tương thích kỹ thuật, đồng thời cam kết sẽ ký hợp đồng chính thức với Apple sau
*Chọn tổ hợp đáp án đúng</t>
  </si>
  <si>
    <t>(1), (3), (5)</t>
  </si>
  <si>
    <t>Napas đang vận hành dịch vụ hỗ trợ thanh toán di động qua NFC cho các ngân hàng và ví điện tử. Gần đây, bạn ghi nhận:
- Tỷ lệ sử dụng NFC tăng chậm tại các thành phố nhỏ.
- Một số ngân hàng báo cáo chi phí triển khai thiết bị tại điểm bán còn cao.
- Các TGTT ví điện tử đề xuất mở rộng thêm tùy chọn QR song song để dễ triển khai hơn.
Đâu là phương án phù hợp nhất để đánh giá và điều chỉnh dịch vụ theo vòng đời sản phẩm?</t>
  </si>
  <si>
    <t xml:space="preserve"> Phân tích hành vi người dùng theo vùng địa lý, đánh giá nhu cầu và xu hướng để xác định lại giai đoạn vòng đời sản phẩm và đề xuất điều chỉnh chiến lược triển khai.</t>
  </si>
  <si>
    <t xml:space="preserve"> Dừng triển khai NFC tại các khu vực ngoài đô thị lớn để tiết kiệm chi phí.</t>
  </si>
  <si>
    <t xml:space="preserve"> Bắt buộc tất cả ngân hàng triển khai NFC đồng loạt trên toàn quốc trong 6 tháng.</t>
  </si>
  <si>
    <t xml:space="preserve"> Tạm ngưng hợp tác với các TGTT ví điện tử chưa tích hợp NFC."</t>
  </si>
  <si>
    <t>Napas đang vận hành một hệ thống thanh toán xuyên biên giới cho phép các giao dịch điện tử giữa các ngân hàng tại Việt Nam và các ngân hàng quốc tế. Tuy nhiên, hệ thống gặp một số khó khăn khi xử lý các giao dịch ở các khu vực có hạ tầng internet không ổn định hoặc khi có sự cố xảy ra trong quá trình chuyển tiền, dẫn đến giao dịch không thể hoàn tất hoặc bị lỗi. Đặc biệt, hệ thống hiện tại thiếu khả năng tự động phát hiện và khắc phục sự cố, đồng thời không hỗ trợ tính năng tối ưu hóa lộ trình chuyển tiền dựa trên tình trạng mạng lưới.
Trong tình huống này, để cải thiện hiệu quả của hệ thống và giảm thiểu rủi ro gián đoạn giao dịch, Anh/Chị sẽ thực hiện những giải pháp nào?
1. Duy trì hệ thống hiện tại và tiếp tục theo dõi..
2. Triển khai tính năng tự động giám sát, phát hiện và khắc phục sự cố trong thời gian ngắn nhất để đảm bảo giao dịch vận hành ổn định, hạn chế tối đa mức độ ảnh hưởng khi phát sinh lỗi.
3. Nâng cấp sản phẩm, triển khai tính năng truy vấn trạng thái giao dịch trong trường hợp lỗi và cải tiến quy trình nghiệp vụ để rút ngắn thời gian xử lý cho khách hàng khi gặp tình huống lỗi. 
4. Đầu tư vào hệ thống cơ sở hạ tầng mạng lưới để đảm bảo giao dịch không bị gián đoạn khi kết nối mạng</t>
  </si>
  <si>
    <t>2, 3</t>
  </si>
  <si>
    <t>Đặc điểm nào sau đây là điểm khác biệt cơ bản giữa ngân hàng và tổ chức trung gian thanh toán (TGTT) trong hệ sinh thái Napas?</t>
  </si>
  <si>
    <t>Ngân hàng được phép quản lý tài khoản thanh toán, còn TGTT thì không</t>
  </si>
  <si>
    <t>Ngân hàng được phép mở ví điện tử, còn TGTT không được phép</t>
  </si>
  <si>
    <t>TGTT chỉ cung cấp phần mềm, hệ thống thanh toán, không tham gia vào dòng tiền</t>
  </si>
  <si>
    <t>TGTT có quyền phát hành thẻ liên kết quốc tế, còn ngân hàng thì không</t>
  </si>
  <si>
    <t>Đâu là một trong những tổ chức thường xuyên kết nối với hệ thống thanh toán của NAPAS?</t>
  </si>
  <si>
    <t>Các ngân hàng thành viên cung cấp dịch vụ tài khoản và thẻ</t>
  </si>
  <si>
    <t>Các công ty truyền thông chuyên cung cấp mạng Internet</t>
  </si>
  <si>
    <t>Các đại lý du lịch bán vé máy bay và khách sạn</t>
  </si>
  <si>
    <t>Các tổ chức phi chính phủ không cung cấp dịch vụ tài chính</t>
  </si>
  <si>
    <t>Để mở rộng hệ sinh thái thanh toán số tại Việt Nam, Napas thường hợp tác với các tổ chức nào dưới đây?</t>
  </si>
  <si>
    <t>Tất cả các phương án đều đúng</t>
  </si>
  <si>
    <t>Các ngân hàng thương mại, công ty tài chính</t>
  </si>
  <si>
    <t>Trung gian thanh toán như ví điện tử, cổng thanh toán</t>
  </si>
  <si>
    <t>Các tổ chức nhà nước như Tổng cục Thuế, Cổng dịch vụ công Quốc gia</t>
  </si>
  <si>
    <t>Quy định nào sau đây là điểm giống nhau giữa ngân hàng và tổ chức trung gian thanh toán (TGTT) tkhi tham gia kết nối dịch vụ vào  Napas? 
Đề nghị thay cấp hỏi:
Câu trả lời nào đúng và đầy đủ nhất với câu hỏi sau: Các Ngân hàng và công ty tài chính khi tham gia dịch vụ NAPAS thì cần phải
1. Là TCTV của NAPAS, ký hợp đồng nguyên tắc TCTV và bộ QĐTCTV, ký thỏa thuận thanh toán bù trừ điện tử và các thỏa thuận khác liên quan (nếu cần). TCTV triển khai dịch vụ nào sẽ căn cứ theo biên bản nghiệm thu dịch vụ giữa các bên.
2. Ngân hàng/CTy tài chính tham gia dịch vụ nào thi sẽ ký kết pháp lý dịch vụ đó.
3. Ngân hàng/Công ty tài chính cần có BIN do NHNN phát hành thì mới triển khai các DV NAPAS được</t>
  </si>
  <si>
    <t>Sự khác biệt chính giữa ngân hàng và Napas là gì?</t>
  </si>
  <si>
    <t>Ngân hàng là tổ chức tín dụng hoạt động theo giấy phép hoạt động ngân hàng do NHNN cấp. Ngân hàng cung cấp dịch vụ tài chính, tín dụng trực tiếp cho các doanh nghiệp và cá nhân. 
Napas là đơn vị trung gian thanh toán hoạt động theo giấy phép dịch vụ trung gian thanh toán về chuyển mạch tài chính, bù trừ điện tử, hỗ trợ thu hộ chi hộ, cổng thanh toán điện tử. Napas cung cấp dịch vụ cho các ngân hàng, trung gian thanh toán, các đơn vị kinh doanh hàng hóa dịch vụ chấp nhận thanh toán thẻ/ mã QR.</t>
  </si>
  <si>
    <t>Trung gian thanh toán kết nối với NAPAS thường cung cấp dịch vụ nào sau đây?</t>
  </si>
  <si>
    <t>Ví điện tử và cổng thanh toán điện tử cho người dùng</t>
  </si>
  <si>
    <t>Tư vấn tài chính và đầu tư chứng khoán</t>
  </si>
  <si>
    <t>Bán hàng trực tiếp và hậu cần giao hàng</t>
  </si>
  <si>
    <t>Cung cấp phần mềm kế toán nội bộ cho doanh nghiệp</t>
  </si>
  <si>
    <t xml:space="preserve">Khi đánh giá hệ thống thanh toán của các tổ chức thành viên, các yếu tố nào sau đây có ảnh hưởng đến công tác đảm bảo giao dịch vận hành ổn định, liên tục?
(1) Tốc độ xử lý giao dịch và khả năng xử lý giao dịch theo thời gian thực.
(2) Chính sách phí giao dịch giữa các bên liên kết.
(3) Mức độ bảo mật và khả năng chống gian lận, giả mạo trong thanh toán.
(4) Mô hình vận hành giám sát và xử lý sự cố.
</t>
  </si>
  <si>
    <t>1, 4</t>
  </si>
  <si>
    <t xml:space="preserve">Để tư vấn cho TCTV ngân hàng quyết định triển khai SPDV Tap to phone, bạn sẽ tập trung vào những lợi ích gì cho NH để họ quyết định sử dụng DV NAPAS.
</t>
  </si>
  <si>
    <t>1. Về chi phí: Thấp hơn so với đầu tư thiết bị POS truyền thống.
2. Về việc chấp nhận thanh toán: Cả thẻ NĐ NAPAS và QT.
3. Về đối tượng khách hàng phù hợp: Phù hợp cả Merchant chuỗi và đơn vị nhỏ, lẻ. NAPAS hỗ trợ hệ thống theo dõi báo cáo và quản lý Merchant.</t>
  </si>
  <si>
    <t>Khi đánh giá khả năng hợp tác với các bên liên quan, Napas cần xem xét yếu tố nào quan trọng nhất?</t>
  </si>
  <si>
    <t>Mức độ sẵn sàng tích hợp hệ thống và khả năng kết nối với Napas.</t>
  </si>
  <si>
    <t>Mức độ phổ biến của đối tác trên thị trường và mạng lưới khách hàng.</t>
  </si>
  <si>
    <t>Khả năng tài chính và năng lực đầu tư vào công nghệ thanh toán.</t>
  </si>
  <si>
    <t>Sự phù hợp về chiến lược phát triển và định hướng dài hạn với Napas.</t>
  </si>
  <si>
    <t>Lợi ích chính của thanh toán QR Napas đối với các doanh nghiệp nhỏ và cửa hàng bán lẻ là gì?</t>
  </si>
  <si>
    <t>Không cần đầu tư thiết bị chấp nhận thanh toán chuyên dụng, dễ dàng triển khai với chi phí thấp</t>
  </si>
  <si>
    <t>Có thể rút tiền mặt ngay từ mã QR mà không cần qua ngân hàng</t>
  </si>
  <si>
    <t>Nhận được các khoản vay tín chấp tự động từ Napas</t>
  </si>
  <si>
    <t>Giao dịch được ghi nhận theo thời gian thực, giúp quản lý dòng tiền minh bạch và nhanh chóng</t>
  </si>
  <si>
    <t>Một trong những xu hướng phát triển nổi bật của các tổ chức trung gian thanh toán khi kết nối với hệ thống Napas là gì?</t>
  </si>
  <si>
    <t>Phát triển ví điện tử tích hợp thanh toán QR, chuyển tiền, thanh toán hóa đơn trên nền tảng số</t>
  </si>
  <si>
    <t>Cung cấp dịch vụ quản lý nhân sự cho các ngân hàng thành viên</t>
  </si>
  <si>
    <t>Phát hành thẻ vật lý thay cho ngân hàng phát hành chính</t>
  </si>
  <si>
    <t>Triển khai hệ thống máy ATM riêng biệt không thông qua mạng lưới Napas</t>
  </si>
  <si>
    <t>Theo bạn dịch vụ hỗ trợ thu hộ chi hộ của công ty cần cải tiến như thế nào để đáp ứng nhu cầu của thị trường khi Ví điện tử đang triển khai dịch vụ này và rất phổ biến?</t>
  </si>
  <si>
    <t>Tăng cường liên kết với các NCCDV, TGKN để mở rộng mạng lưới dịch vụ; tăng cường chào bán sản phẩm với các TCPL để gia tăng lượng khách hàng sử dụng dịch vụ</t>
  </si>
  <si>
    <t>Giảm phí dịch vụ</t>
  </si>
  <si>
    <t>Dừng triển khai với các NCCDV trực tiếp, tập trung vào các TGKN vì có nhiều dịch vụ hơn</t>
  </si>
  <si>
    <t>Tăng phí dịch vụ để tăng doanh thu</t>
  </si>
  <si>
    <t>Tính năng nào dưới đây giúp dịch vụ “Thanh toán bằng mã QR” của NAPAS trở nên phù hợp với cả điểm bán hàng offline và online?</t>
  </si>
  <si>
    <t>Áp dụng mô hình Merchant-presented, hỗ trợ điểm giao dịch tại cả Việt Nam và quốc tế</t>
  </si>
  <si>
    <t>Chỉ sử dụng được trong các siêu thị có hỗ trợ phần mềm thanh toán của Apple</t>
  </si>
  <si>
    <t>Không cần kết nối mạng khi thực hiện quét mã QR</t>
  </si>
  <si>
    <t>Chỉ hoạt động với thiết bị POS chuyên dụng tích hợp NFC</t>
  </si>
  <si>
    <t>Vai trò của các ngân hàng thành viên khi kết nối với hệ thống thanh toán NAPAS là gì?</t>
  </si>
  <si>
    <t>Cung cấp tài khoản và thẻ cho khách hàng, đồng thời xử lý giao dịch qua nền tảng của NAPAS</t>
  </si>
  <si>
    <t>Quản lý kỹ thuật vận hành hệ thống chuyển mạch của NAPAS</t>
  </si>
  <si>
    <t>Cung cấp dịch vụ nạp tiền điện thoại cho các nhà mạng qua hệ thống POS</t>
  </si>
  <si>
    <t>Thay thế NAPAS trong việc vận hành và giám sát các trung gian thanh toán</t>
  </si>
  <si>
    <t>NAPAS cần làm gì để tăng cường năng lực cạnh tranh thông qua các mô hình hợp tác trong lĩnh vực thanh toán bằng mã QR?</t>
  </si>
  <si>
    <t>Đẩy mạnh hợp tác với các Ngân hàng, doanh nghiệp bán lẻ và chuỗi cung ứng</t>
  </si>
  <si>
    <t xml:space="preserve">Phát triển các dịch vụ giá trị gia tăng và các chương trình khuyến mãi </t>
  </si>
  <si>
    <t>Ưu tiên chạy đua giảm phí thanh toán QR một cách triệt để cạnh tranh</t>
  </si>
  <si>
    <t>Liên kết với các nền tảng thương mại điện tử để tích hợp thanh toán nhanh.</t>
  </si>
  <si>
    <t>Napas đang cân nhắc việc hợp tác với một fintech mới trong lĩnh vực thanh toán di động để tích hợp dịch vụ thanh toán trên nền tảng của fintech này. Tuy nhiên, fintech này chưa có chứng nhận bảo mật quốc tế như PCI-DSS và hệ thống thanh toán của họ vẫn chưa hoàn toàn tương thích với các tiêu chuẩn của Napas. Mặc dù fintech này có tiềm năng lớn trong việc phát triển dịch vụ thanh toán sáng tạo, nhưng họ cần thời gian để điều chỉnh công nghệ và nâng cấp hệ thống bảo mật.
Bạn sẽ đề xuất giải pháp nào để đảm bảo tính bảo mật và hiệu quả khi hợp tác với fintech này?
(1) Hợp tác theo từng giai đoạn và yêu cầu fintech xây dựng lộ trình đạt chuẩn bảo mật trước khi xử lý dữ liệu thực tế
(2) Tạm dừng hợp tác cho đến khi fintech đạt toàn bộ chứng chỉ bảo mật theo quy định
(3) Cho phép hợp tác ngay nếu fintech cam kết nâng cấp trong 12 tháng
(4) Chuyển toàn bộ kiểm soát bảo mật sang phía Napas để giảm rủi ro
(5) Trước mắt, triển khai thử nghiệm trong môi trường sandbox, không kết nối hệ thống thanh toán thực
*Chọn tổ hợp đáp án đúng</t>
  </si>
  <si>
    <t>(1), (5)</t>
  </si>
  <si>
    <t>(1), (4)</t>
  </si>
  <si>
    <t>(4), (5)</t>
  </si>
  <si>
    <t>Napas đang khảo sát xu hướng phát triển dịch vụ thanh toán trong năm tới. Trong đó, một xu hướng mới là việc mở rộng hợp tác giữa các ngân hàng với các công ty fintech để cung cấp các dịch vụ thanh toán sáng tạo, đặc biệt trong lĩnh vực thanh toán quốc tế. Một ngân hàng đối tác của Napas đang cân nhắc việc tích hợp công nghệ blockchain vào các giao dịch thanh toán quốc tế để cải thiện tính bảo mật và giảm thiểu chi phí giao dịch. Tuy nhiên, ngân hàng này gặp phải một số thách thức, bao gồm sự phức tạp trong việc tích hợp công nghệ mới vào hệ thống thanh toán hiện tại và lo ngại về chi phí triển khai, đồng thời thiếu kinh nghiệm trong việc triển khai các dự án blockchain.
Để giúp đưa ra quyết định hợp tác hiệu quả, Bạn sẽ chọn giải pháp nào sau đây?
(1) Tạm thời dừng triển khai blockchain đến khi có hướng dẫn pháp lý rõ ràng từ Ngân hàng Nhà nước
(2) Triển khai thử nghiệm (pilot) một số mô hình giao dịch sử dụng blockchain với đối tác đã có kinh nghiệm, với quy mô nhỏ
(3) Lựa chọn công nghệ blockchain mã nguồn mở, miễn phí để giảm chi phí đầu tư
(4) Phối hợp với các đơn vị chuyên môn (fintech/blockchain lab) để tư vấn mô hình, phân tích chi phí–lợi ích trước khi ra quyết định đầu tư
(5) Ưu tiên nghiên cứu tích hợp blockchain vào hệ thống nội bộ thay vì ứng dụng cho giao dịch quốc tế
*Chọn tổ hợp đáp án đúng</t>
  </si>
  <si>
    <t>(2), (3)</t>
  </si>
  <si>
    <t xml:space="preserve">việc Napas phát triển dịch vụ thanh toán xuyên biên giới mang lại lợi ích gì? </t>
  </si>
  <si>
    <t>1. Tăng cường khả năng thanh toán quốc tế bằng các phương thức thanh toán nội địa cho người dùngViệt Nam
2 .Hỗ trợ doanh nghiệp mở rộng thị trường, phát triển kinh tế; giảm chi phí và thời gian so với các phương thức chuyển tiền truyền thống như SWIFT
3. Thúc đẩy chuyển đổi số và  hiện đại hóa hệ thống tài chính quốc gia
4. Tăng tính minh bạch và kiểm soát dòng tiền, nâng vị thế hình ảnh quốc gia, thu hút đầu tư nước ngoài
5. Thúc đẩy kết nối Việt Nam vào hệ sinh thái tài chính khu vực, thúc đẩy thanh toán bằng nội tệ.</t>
  </si>
  <si>
    <t>Xu hướng nào dưới đây phù hợp nhất với định hướng mở rộng hợp tác xuyên biên giới của NAPAS với Thái Lan trong bối cảnh phát triển hệ sinh thái thanh toán số?</t>
  </si>
  <si>
    <t>Triển khai thanh toán bằng mã VietQR cho điểm bán offline tại Việt Nam và Thái Lan theo mô hình Merchant-presented kết nối ngân hàng thành viên hai nước</t>
  </si>
  <si>
    <t>Napas đang cân nhắc việc hợp tác với một fintech mới trong lĩnh vực thanh toán di động để tích hợp dịch vụ thanh toán trên nền tảng của fintech này. Tuy nhiên, fintech này chưa có chứng nhận bảo mật quốc tế như PCI-DSS và hệ thống thanh toán của họ vẫn chưa hoàn toàn tương thích với các tiêu chuẩn của Napas. Mặc dù fintech này có tiềm năng lớn trong việc phát triển dịch vụ thanh toán sáng tạo, nhưng họ cần thời gian để điều chỉnh công nghệ và nâng cấp hệ thống bảo mật.
Anh/Chị sẽ đề xuất giải pháp nào để đảm bảo tính bảo mật và hiệu quả khi hợp tác với fintech này?
1. Tạm hoãn hợp tác cho đến khi fintech đạt đầy đủ chứng nhận bảo mật và tương thích hệ thống.
2. Chỉ tích hợp các dịch vụ không liên quan đến dữ liệu nhạy cảm để giảm thiểu rủi ro.
3. Thực hiện đánh giá gap bảo mật giữa hệ thống fintech và yêu cầu của Napas, từ đó xây dựng lộ trình sản phẩm và tuân thủ bảo mật phù hợp; triển khai hợp tác theo giai đoạn, kết hợp giám sát và ràng buộc pháp lý chặt chẽ. 
4. Tiến hành hợp tác ngay để tận dụng cơ hội thị trường, đồng thời yêu cầu fintech tự chịu  trách nhiệm hoàn toàn về bảo mật.</t>
  </si>
  <si>
    <t>Napas đang có kế hoạch tăng cường hiệu quả công tác quản lý rủi ro thông qua việc ứng dụng phân tích dữ liệu lớn và trí tuệ nhân tạo trong giám sát, đánh giá rủi ro giao dịch. Một số đối tác đã trình bày giải pháp, tuy nhiên phần lớn chỉ có kinh nghiệm triển khai quốc tế cho ngân hàng và sàn thương mại điện tử, nơi có đầy đủ dữ liệu giao dịch và khách hàng, nhưng chưa có kinh nghiệm với mô hình công ty chuyển mạch tài chính như Napas.
Giải pháp hợp tác nào sau đây là phù hợp và hiệu quả nhất?</t>
  </si>
  <si>
    <t xml:space="preserve">Thiết lập giai đoạn thử nghiệm giới hạn (pilot) để đánh giá mức độ phù hợp với mô hình chuyển mạch tài chính tại Việt Nam, đồng thời phối hợp đánh giá gap nghiệp vụ và kỹ thuật để điều chỉnh giải pháp phù hợp. </t>
  </si>
  <si>
    <t>Triển khai toàn bộ giải pháp dựa trên kinh nghiệm quốc tế của đối tác, tin tưởng rằng mô hình ngân hàng và thương mại điện tử có thể áp dụng tương tự cho Napas.</t>
  </si>
  <si>
    <t>Yêu cầu đối tác phát triển một giải pháp hoàn toàn mới, riêng biệt cho Napas, bất kể chi phí và thời gian triển khai.</t>
  </si>
  <si>
    <t>Chỉ lựa chọn đối tác đã từng triển khai thành công cho công ty chuyển mạch tài chính, loại bỏ các đối tác chưa có kinh nghiệm trong lĩnh vực này.</t>
  </si>
  <si>
    <t>Napas đang đánh giá phương án mở rộng dịch vụ thu hộ – chi hộ kết nối giữa ngân hàng, trung gian thanh toán (ví điện tử) và các nhà cung cấp dịch vụ như điện, nước, viễn thông. Trong quá trình khảo sát, các bên liên quan phản ánh:
- Một số ngân hàng và ví điện tử chưa có khả năng xử lý giao dịch và đối soát theo thời gian thực
- Các nhà cung cấp dịch vụ yêu cầu chuẩn hóa định dạng dữ liệu và xác nhận thanh toán tức thì để cập nhật công nợ
- Việc tích hợp kết nối hiện nay theo mô hình riêng lẻ, thiếu chuẩn thống nhất, dẫn đến khó khăn mở rộng quy mô
Bạn được giao nhiệm vụ đề xuất mô hình hợp tác chiến lược nhằm tối ưu hóa kết nối, giảm độ trễ giao dịch và nâng cao khả năng mở rộng mạng lưới. Mô hình nào sau đây là phù hợp nhất với vai trò kết nối trung gian của Napas?</t>
  </si>
  <si>
    <t xml:space="preserve"> Xây dựng mô hình hub kết nối tập trung giữa Napas – ngân hàng/ ví – nhà cung cấp dịch vụ thông qua API chuẩn hóa</t>
  </si>
  <si>
    <t>Triển khai kết nối song phương giữa Napas và từng nhà cung cấp dịch vụ</t>
  </si>
  <si>
    <t>Yêu cầu nhà cung cấp dịch vụ sử dụng hệ thống Napas để phát hành hóa đơn và nhận thanh toán trực tiếp</t>
  </si>
  <si>
    <t>Giới hạn phạm vi triển khai dịch vụ, chỉ hợp tác với các đơn vị có hệ thống kỹ thuật tương thích</t>
  </si>
  <si>
    <t>Napas đang khảo sát khả năng triển khai thanh toán xuyên biên giới với đối tác quốc tế tại khu vực ASEAN. Đối tác này yêu cầu giải pháp thanh toán phải có khả năng xử lý giao dịch trong thời gian thực với nhiều loại tiền tệ khác nhau, đồng thời tuân thủ các quy định bảo mật quốc tế và yêu cầu kết nối với hệ thống thanh toán quốc gia của từng quốc gia trong khu vực. Ngoài ra, đối tác này mong muốn sử dụng công nghệ AI để phân tích hành vi người dùng và dự đoán các nhu cầu giao dịch trong tương lai. Tuy nhiên, hiện tại hệ thống của Napas chưa tích hợp với hệ thống AI, và việc xử lý giao dịch quốc tế có thể gặp khó khăn với tỷ giá hối đoái biến động mạnh.
Để đáp ứng nhu cầu của đối tác và triển khai thành công thanh toán xuyên biên giới tại khu vực ASEAN, Anh/Chị sẽ lựa chọn các giải pháp nào?</t>
  </si>
  <si>
    <t>Xây dựng lộ trình tích hợp AI vào hệ thống thanh toán, đồng thời nâng cấp hạ tầng để hỗ trợ xử lý giao dịch thời gian thực, đa tiền tệ và tuân thủ bảo mật quốc tế</t>
  </si>
  <si>
    <t xml:space="preserve">Tạm hoãn triển khai cho đến khi toàn bộ quốc gia ASEAN sử dụng chung một hệ thống thanh toán. </t>
  </si>
  <si>
    <t>Bỏ qua yêu cầu tích hợp AI vì không ảnh hưởng trực tiếp đến giao dịch tài chính.</t>
  </si>
  <si>
    <t xml:space="preserve">Chỉ hỗ trợ một loại tiền tệ chung để đơn giản hóa hệ thống và giảm chi phí vận hành. </t>
  </si>
  <si>
    <t>Napas đang triển khai một chiến lược hợp tác với một fintech có trụ sở tại Mỹ để cung cấp các giải pháp thanh toán qua ví điện tử và ứng dụng di động cho các ngân hàng đối tác tại Việt Nam. Fintech này đã phát triển nền tảng thanh toán sử dụng công nghệ blockchain, cho phép thanh toán xuyên biên giới với chi phí thấp và tốc độ giao dịch nhanh. Tuy nhiên, hệ thống hiện tại của fintech chưa hoàn toàn tương thích với các tiêu chuẩn bảo mật quốc tế như PCI-DSS và yêu cầu tích hợp với hệ thống thanh toán nội địa của các ngân hàng tại Việt Nam. Bên cạnh đó, fintech này cũng gặp khó khăn trong việc xử lý tỷ giá hối đoái khi thực hiện thanh toán xuyên biên giới, và cần đảm bảo giao dịch được bảo mật khi thực hiện trên môi trường không tiếp xúc (NFC).
Để đảm bảo chiến lược hợp tác thành công giữa Napas và fintech này, Anh/Chị sẽ lựa chọn các giải pháp nào để giải quyết vấn đề bảo mật, tính tương thích và tối ưu hóa chi phí thanh toán xuyên biên giới?</t>
  </si>
  <si>
    <t>Triển khai theo từng giai đoạn với yêu cầu nâng cấp bảo mật theo tiến độ, bắt đầu từ tích hợp trong môi trường test, hỗ trợ tư vấn để fintech lấy chứng nhận bảo mật, mở rộng hợp tác khi đối tác đã có chứng chỉ hoặc Napas nhận chuyển giao công nghệ nếu công nghệ mới hiệu quả, kèm theo cơ chế chia sẻ lợi nhuận.</t>
  </si>
  <si>
    <t>Triển khai ngay trên môi trường thực tế để tận dụng lợi thế công nghệ blockchain, trong khi chờ đối tác hoàn thiện các yêu cầu bảo mật và tích hợp sau theo lộ trình.</t>
  </si>
  <si>
    <t>Chuyển toàn bộ yêu cầu tích hợp và tiêu chuẩn bảo mật cho Napas đảm nhận, đối tác chỉ cần duy trì nền tảng công nghệ và chịu trách nhiệm xử lý giao dịch xuyên biên giới.</t>
  </si>
  <si>
    <t>Ký kết hợp đồng hợp tác toàn diện trước, sau đó mới bắt đầu thử nghiệm kỹ thuật và đánh giá tính tương thích, bảo mật sẽ được xử lý sau khi dịch vụ đi vào hoạt động.</t>
  </si>
  <si>
    <t>Trước xu hướng hội nhập khu vực, Napas đang nghiên cứu triển khai một mô hình kết nối thanh toán xuyên biên giới, dự kiến phối hợp với:
- Các tổ chức chuyển mạch quốc gia trong khu vực
- Một số nhà cung cấp dịch vụ thanh toán xuyên biên giới (cross-border PSP)
- Các trung gian công nghệ (TPP) hỗ trợ giao tiếp đa tiêu chuẩn (ISO 20022, API...)
Tuy nhiên, có sự khác biệt rõ về mức độ sẵn sàng kỹ thuật, quy định pháp lý, cũng như lợi ích kinh tế giữa các bên. Để đảm bảo hợp tác bền vững, Napas cần đề xuất mô hình hợp tác chiến lược phù hợp nhất.
Trong các mô hình sau, đâu là mô hình hợp tác chiến lược tối ưu nhất, đáp ứng nhu cầu phát triển dịch vụ thanh toán khu vực và đảm bảo lợi ích cho các bên?</t>
  </si>
  <si>
    <t>Mô hình kết nối tập trung qua một tổ chức trung gian khu vực điều phối kỹ thuật và thương mại</t>
  </si>
  <si>
    <t>Mô hình tích hợp trực tiếp giữa các switch, mỗi bên chịu chi phí riêng</t>
  </si>
  <si>
    <t>Mô hình mỗi bên chỉ hỗ trợ giao dịch inbound, không xử lý outbound</t>
  </si>
  <si>
    <t>Mô hình outsourcing toàn bộ cho đối tác quốc tế có sẵn nền tảng kỹ thuật</t>
  </si>
  <si>
    <t>P01 - Hiểu biết về sản phẩm, dịch vụ và nghiệp vụ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</si>
</sst>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44"/>
  <sheetViews>
    <sheetView showGridLines="0" tabSelected="1" zoomScaleNormal="100" workbookViewId="0">
      <selection activeCell="E11" sqref="E11:E12"/>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5703125" style="13" customWidth="1"/>
    <col min="11" max="11" width="9" style="13"/>
    <col min="12" max="12" width="12.5703125" style="13" customWidth="1"/>
    <col min="13" max="16384" width="9" style="13"/>
  </cols>
  <sheetData>
    <row r="2" spans="2:10" ht="26.25" customHeight="1" x14ac:dyDescent="0.25">
      <c r="B2" s="14" t="s">
        <v>559</v>
      </c>
    </row>
    <row r="3" spans="2:10" ht="10.15" customHeight="1" x14ac:dyDescent="0.25">
      <c r="B3" s="14"/>
    </row>
    <row r="4" spans="2:10" ht="31.5" customHeight="1" outlineLevel="1" x14ac:dyDescent="0.25">
      <c r="B4" s="14"/>
      <c r="D4" s="18" t="s">
        <v>10</v>
      </c>
      <c r="E4" s="19" t="s">
        <v>11</v>
      </c>
      <c r="F4" s="20">
        <v>1</v>
      </c>
      <c r="G4" s="20">
        <v>2</v>
      </c>
      <c r="H4" s="20">
        <v>3</v>
      </c>
    </row>
    <row r="5" spans="2:10" ht="19.899999999999999" customHeight="1" outlineLevel="1" x14ac:dyDescent="0.25">
      <c r="B5" s="14"/>
      <c r="D5" s="19" t="s">
        <v>11</v>
      </c>
      <c r="E5" s="16">
        <f>SUM(E6:E9)</f>
        <v>131</v>
      </c>
      <c r="F5" s="17">
        <f>SUM(F6:F9)</f>
        <v>44</v>
      </c>
      <c r="G5" s="17">
        <f t="shared" ref="G5:H5" si="0">SUM(G6:G9)</f>
        <v>61</v>
      </c>
      <c r="H5" s="17">
        <f t="shared" si="0"/>
        <v>26</v>
      </c>
    </row>
    <row r="6" spans="2:10" ht="19.899999999999999" customHeight="1" outlineLevel="1" x14ac:dyDescent="0.25">
      <c r="B6" s="14"/>
      <c r="D6" s="20">
        <v>1</v>
      </c>
      <c r="E6" s="17">
        <f>SUM(F6:H6)</f>
        <v>62</v>
      </c>
      <c r="F6" s="21">
        <f>COUNTIFS($E$13:$E$200,$D6,$C$13:$C$200,F$4)</f>
        <v>27</v>
      </c>
      <c r="G6" s="21">
        <f t="shared" ref="G6:H9" si="1">COUNTIFS($E$13:$E$200,$D6,$C$13:$C$200,G$4)</f>
        <v>29</v>
      </c>
      <c r="H6" s="21">
        <f t="shared" si="1"/>
        <v>6</v>
      </c>
    </row>
    <row r="7" spans="2:10" ht="19.899999999999999" customHeight="1" outlineLevel="1" x14ac:dyDescent="0.25">
      <c r="B7" s="14"/>
      <c r="D7" s="20">
        <v>2</v>
      </c>
      <c r="E7" s="17">
        <f t="shared" ref="E7:E9" si="2">SUM(F7:H7)</f>
        <v>37</v>
      </c>
      <c r="F7" s="21">
        <f t="shared" ref="F7:F9" si="3">COUNTIFS($E$13:$E$200,$D7,$C$13:$C$200,F$4)</f>
        <v>7</v>
      </c>
      <c r="G7" s="21">
        <f t="shared" si="1"/>
        <v>22</v>
      </c>
      <c r="H7" s="21">
        <f t="shared" si="1"/>
        <v>8</v>
      </c>
    </row>
    <row r="8" spans="2:10" ht="19.899999999999999" customHeight="1" outlineLevel="1" x14ac:dyDescent="0.25">
      <c r="B8" s="14"/>
      <c r="D8" s="20">
        <v>3</v>
      </c>
      <c r="E8" s="17">
        <f t="shared" si="2"/>
        <v>19</v>
      </c>
      <c r="F8" s="21">
        <f t="shared" si="3"/>
        <v>7</v>
      </c>
      <c r="G8" s="21">
        <f t="shared" si="1"/>
        <v>6</v>
      </c>
      <c r="H8" s="21">
        <f t="shared" si="1"/>
        <v>6</v>
      </c>
    </row>
    <row r="9" spans="2:10" ht="19.899999999999999" customHeight="1" outlineLevel="1" x14ac:dyDescent="0.25">
      <c r="B9" s="14"/>
      <c r="D9" s="20">
        <v>4</v>
      </c>
      <c r="E9" s="17">
        <f t="shared" si="2"/>
        <v>13</v>
      </c>
      <c r="F9" s="21">
        <f t="shared" si="3"/>
        <v>3</v>
      </c>
      <c r="G9" s="21">
        <f t="shared" si="1"/>
        <v>4</v>
      </c>
      <c r="H9" s="21">
        <f t="shared" si="1"/>
        <v>6</v>
      </c>
    </row>
    <row r="10" spans="2:10" ht="6.75" customHeight="1" x14ac:dyDescent="0.25"/>
    <row r="11" spans="2:10" ht="19.350000000000001" customHeight="1" x14ac:dyDescent="0.25">
      <c r="B11" s="24" t="s">
        <v>0</v>
      </c>
      <c r="C11" s="24" t="s">
        <v>1</v>
      </c>
      <c r="D11" s="24" t="s">
        <v>2</v>
      </c>
      <c r="E11" s="24" t="s">
        <v>3</v>
      </c>
      <c r="F11" s="22" t="s">
        <v>8</v>
      </c>
      <c r="G11" s="23" t="s">
        <v>9</v>
      </c>
      <c r="H11" s="23"/>
      <c r="I11" s="23"/>
      <c r="J11" s="23"/>
    </row>
    <row r="12" spans="2:10" ht="19.350000000000001" customHeight="1" x14ac:dyDescent="0.25">
      <c r="B12" s="24"/>
      <c r="C12" s="24"/>
      <c r="D12" s="24"/>
      <c r="E12" s="24"/>
      <c r="F12" s="22"/>
      <c r="G12" s="6" t="s">
        <v>4</v>
      </c>
      <c r="H12" s="6" t="s">
        <v>5</v>
      </c>
      <c r="I12" s="6" t="s">
        <v>6</v>
      </c>
      <c r="J12" s="6" t="s">
        <v>7</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51" x14ac:dyDescent="0.25">
      <c r="B14" s="1">
        <f>ROW()-ROW($B$13)</f>
        <v>1</v>
      </c>
      <c r="C14" s="2">
        <v>1</v>
      </c>
      <c r="D14" s="3" t="s">
        <v>12</v>
      </c>
      <c r="E14" s="2">
        <v>1</v>
      </c>
      <c r="F14" s="5" t="s">
        <v>15</v>
      </c>
      <c r="G14" s="9" t="s">
        <v>16</v>
      </c>
      <c r="H14" s="7" t="s">
        <v>17</v>
      </c>
      <c r="I14" s="7" t="s">
        <v>18</v>
      </c>
      <c r="J14" s="7" t="s">
        <v>19</v>
      </c>
    </row>
    <row r="15" spans="2:10" ht="51" x14ac:dyDescent="0.25">
      <c r="B15" s="1">
        <f t="shared" ref="B15:B34" si="5">ROW()-ROW($B$13)</f>
        <v>2</v>
      </c>
      <c r="C15" s="2">
        <v>1</v>
      </c>
      <c r="D15" s="3" t="s">
        <v>12</v>
      </c>
      <c r="E15" s="2">
        <v>1</v>
      </c>
      <c r="F15" s="5" t="s">
        <v>20</v>
      </c>
      <c r="G15" s="10" t="s">
        <v>21</v>
      </c>
      <c r="H15" s="3" t="s">
        <v>22</v>
      </c>
      <c r="I15" s="3" t="s">
        <v>23</v>
      </c>
      <c r="J15" s="3" t="s">
        <v>24</v>
      </c>
    </row>
    <row r="16" spans="2:10" ht="51" x14ac:dyDescent="0.25">
      <c r="B16" s="1">
        <f t="shared" si="5"/>
        <v>3</v>
      </c>
      <c r="C16" s="2">
        <v>1</v>
      </c>
      <c r="D16" s="3" t="s">
        <v>12</v>
      </c>
      <c r="E16" s="2">
        <v>1</v>
      </c>
      <c r="F16" s="5" t="s">
        <v>25</v>
      </c>
      <c r="G16" s="10" t="s">
        <v>26</v>
      </c>
      <c r="H16" s="3" t="s">
        <v>27</v>
      </c>
      <c r="I16" s="3" t="s">
        <v>28</v>
      </c>
      <c r="J16" s="3" t="s">
        <v>29</v>
      </c>
    </row>
    <row r="17" spans="2:10" ht="51" x14ac:dyDescent="0.25">
      <c r="B17" s="1">
        <f t="shared" si="5"/>
        <v>4</v>
      </c>
      <c r="C17" s="2">
        <v>1</v>
      </c>
      <c r="D17" s="3" t="s">
        <v>12</v>
      </c>
      <c r="E17" s="2">
        <v>1</v>
      </c>
      <c r="F17" s="5" t="s">
        <v>30</v>
      </c>
      <c r="G17" s="10" t="s">
        <v>31</v>
      </c>
      <c r="H17" s="3" t="s">
        <v>32</v>
      </c>
      <c r="I17" s="3" t="s">
        <v>33</v>
      </c>
      <c r="J17" s="3" t="s">
        <v>34</v>
      </c>
    </row>
    <row r="18" spans="2:10" ht="51" x14ac:dyDescent="0.25">
      <c r="B18" s="1">
        <f t="shared" si="5"/>
        <v>5</v>
      </c>
      <c r="C18" s="2">
        <v>1</v>
      </c>
      <c r="D18" s="3" t="s">
        <v>12</v>
      </c>
      <c r="E18" s="2">
        <v>1</v>
      </c>
      <c r="F18" s="5" t="s">
        <v>35</v>
      </c>
      <c r="G18" s="10" t="s">
        <v>36</v>
      </c>
      <c r="H18" s="3" t="s">
        <v>37</v>
      </c>
      <c r="I18" s="3" t="s">
        <v>38</v>
      </c>
      <c r="J18" s="3" t="s">
        <v>39</v>
      </c>
    </row>
    <row r="19" spans="2:10" ht="51" x14ac:dyDescent="0.25">
      <c r="B19" s="1">
        <f t="shared" si="5"/>
        <v>6</v>
      </c>
      <c r="C19" s="2">
        <v>1</v>
      </c>
      <c r="D19" s="3" t="s">
        <v>12</v>
      </c>
      <c r="E19" s="2">
        <v>1</v>
      </c>
      <c r="F19" s="5" t="s">
        <v>40</v>
      </c>
      <c r="G19" s="10" t="s">
        <v>41</v>
      </c>
      <c r="H19" s="3" t="s">
        <v>42</v>
      </c>
      <c r="I19" s="3" t="s">
        <v>43</v>
      </c>
      <c r="J19" s="3" t="s">
        <v>44</v>
      </c>
    </row>
    <row r="20" spans="2:10" ht="51" x14ac:dyDescent="0.25">
      <c r="B20" s="1">
        <f t="shared" si="5"/>
        <v>7</v>
      </c>
      <c r="C20" s="2">
        <v>1</v>
      </c>
      <c r="D20" s="3" t="s">
        <v>12</v>
      </c>
      <c r="E20" s="2">
        <v>1</v>
      </c>
      <c r="F20" s="5" t="s">
        <v>45</v>
      </c>
      <c r="G20" s="10" t="s">
        <v>46</v>
      </c>
      <c r="H20" s="3" t="s">
        <v>47</v>
      </c>
      <c r="I20" s="3" t="s">
        <v>48</v>
      </c>
      <c r="J20" s="3" t="s">
        <v>49</v>
      </c>
    </row>
    <row r="21" spans="2:10" ht="51" x14ac:dyDescent="0.25">
      <c r="B21" s="1">
        <f t="shared" si="5"/>
        <v>8</v>
      </c>
      <c r="C21" s="2">
        <v>1</v>
      </c>
      <c r="D21" s="3" t="s">
        <v>12</v>
      </c>
      <c r="E21" s="2">
        <v>1</v>
      </c>
      <c r="F21" s="5" t="s">
        <v>50</v>
      </c>
      <c r="G21" s="10" t="s">
        <v>51</v>
      </c>
      <c r="H21" s="3" t="s">
        <v>52</v>
      </c>
      <c r="I21" s="3" t="s">
        <v>53</v>
      </c>
      <c r="J21" s="3" t="s">
        <v>54</v>
      </c>
    </row>
    <row r="22" spans="2:10" ht="51" x14ac:dyDescent="0.25">
      <c r="B22" s="1">
        <f t="shared" si="5"/>
        <v>9</v>
      </c>
      <c r="C22" s="2">
        <v>1</v>
      </c>
      <c r="D22" s="3" t="s">
        <v>12</v>
      </c>
      <c r="E22" s="2">
        <v>1</v>
      </c>
      <c r="F22" s="5" t="s">
        <v>55</v>
      </c>
      <c r="G22" s="11" t="s">
        <v>56</v>
      </c>
      <c r="H22" s="8" t="s">
        <v>57</v>
      </c>
      <c r="I22" s="8" t="s">
        <v>58</v>
      </c>
      <c r="J22" s="8" t="s">
        <v>59</v>
      </c>
    </row>
    <row r="23" spans="2:10" ht="51" x14ac:dyDescent="0.25">
      <c r="B23" s="1">
        <f t="shared" si="5"/>
        <v>10</v>
      </c>
      <c r="C23" s="2">
        <v>1</v>
      </c>
      <c r="D23" s="3" t="s">
        <v>12</v>
      </c>
      <c r="E23" s="2">
        <v>1</v>
      </c>
      <c r="F23" s="5" t="s">
        <v>60</v>
      </c>
      <c r="G23" s="11" t="s">
        <v>61</v>
      </c>
      <c r="H23" s="8" t="s">
        <v>62</v>
      </c>
      <c r="I23" s="8" t="s">
        <v>63</v>
      </c>
      <c r="J23" s="8" t="s">
        <v>64</v>
      </c>
    </row>
    <row r="24" spans="2:10" ht="51" x14ac:dyDescent="0.25">
      <c r="B24" s="1">
        <f t="shared" si="5"/>
        <v>11</v>
      </c>
      <c r="C24" s="2">
        <v>1</v>
      </c>
      <c r="D24" s="3" t="s">
        <v>12</v>
      </c>
      <c r="E24" s="2">
        <v>1</v>
      </c>
      <c r="F24" s="5" t="s">
        <v>65</v>
      </c>
      <c r="G24" s="11" t="s">
        <v>66</v>
      </c>
      <c r="H24" s="8" t="s">
        <v>67</v>
      </c>
      <c r="I24" s="8" t="s">
        <v>68</v>
      </c>
      <c r="J24" s="8" t="s">
        <v>69</v>
      </c>
    </row>
    <row r="25" spans="2:10" ht="51" x14ac:dyDescent="0.25">
      <c r="B25" s="1">
        <f t="shared" si="5"/>
        <v>12</v>
      </c>
      <c r="C25" s="2">
        <v>1</v>
      </c>
      <c r="D25" s="3" t="s">
        <v>12</v>
      </c>
      <c r="E25" s="2">
        <v>1</v>
      </c>
      <c r="F25" s="5" t="s">
        <v>70</v>
      </c>
      <c r="G25" s="11" t="s">
        <v>71</v>
      </c>
      <c r="H25" s="8" t="s">
        <v>72</v>
      </c>
      <c r="I25" s="8" t="s">
        <v>73</v>
      </c>
      <c r="J25" s="8" t="s">
        <v>74</v>
      </c>
    </row>
    <row r="26" spans="2:10" ht="51" x14ac:dyDescent="0.25">
      <c r="B26" s="1">
        <f t="shared" si="5"/>
        <v>13</v>
      </c>
      <c r="C26" s="2">
        <v>1</v>
      </c>
      <c r="D26" s="3" t="s">
        <v>12</v>
      </c>
      <c r="E26" s="2">
        <v>1</v>
      </c>
      <c r="F26" s="5" t="s">
        <v>75</v>
      </c>
      <c r="G26" s="10" t="s">
        <v>76</v>
      </c>
      <c r="H26" s="3" t="s">
        <v>77</v>
      </c>
      <c r="I26" s="3" t="s">
        <v>78</v>
      </c>
      <c r="J26" s="3" t="s">
        <v>79</v>
      </c>
    </row>
    <row r="27" spans="2:10" ht="51" x14ac:dyDescent="0.25">
      <c r="B27" s="1">
        <f t="shared" si="5"/>
        <v>14</v>
      </c>
      <c r="C27" s="2">
        <v>1</v>
      </c>
      <c r="D27" s="3" t="s">
        <v>12</v>
      </c>
      <c r="E27" s="2">
        <v>1</v>
      </c>
      <c r="F27" s="5" t="s">
        <v>80</v>
      </c>
      <c r="G27" s="10" t="s">
        <v>81</v>
      </c>
      <c r="H27" s="3" t="s">
        <v>82</v>
      </c>
      <c r="I27" s="3" t="s">
        <v>83</v>
      </c>
      <c r="J27" s="3" t="s">
        <v>84</v>
      </c>
    </row>
    <row r="28" spans="2:10" ht="51" x14ac:dyDescent="0.25">
      <c r="B28" s="1">
        <f t="shared" si="5"/>
        <v>15</v>
      </c>
      <c r="C28" s="2">
        <v>1</v>
      </c>
      <c r="D28" s="3" t="s">
        <v>12</v>
      </c>
      <c r="E28" s="2">
        <v>1</v>
      </c>
      <c r="F28" s="5" t="s">
        <v>85</v>
      </c>
      <c r="G28" s="10" t="s">
        <v>86</v>
      </c>
      <c r="H28" s="3" t="s">
        <v>87</v>
      </c>
      <c r="I28" s="3" t="s">
        <v>88</v>
      </c>
      <c r="J28" s="3" t="s">
        <v>89</v>
      </c>
    </row>
    <row r="29" spans="2:10" ht="51" x14ac:dyDescent="0.25">
      <c r="B29" s="1">
        <f t="shared" si="5"/>
        <v>16</v>
      </c>
      <c r="C29" s="2">
        <v>1</v>
      </c>
      <c r="D29" s="3" t="s">
        <v>12</v>
      </c>
      <c r="E29" s="2">
        <v>1</v>
      </c>
      <c r="F29" s="5" t="s">
        <v>90</v>
      </c>
      <c r="G29" s="10" t="s">
        <v>91</v>
      </c>
      <c r="H29" s="3" t="s">
        <v>92</v>
      </c>
      <c r="I29" s="3" t="s">
        <v>93</v>
      </c>
      <c r="J29" s="3" t="s">
        <v>94</v>
      </c>
    </row>
    <row r="30" spans="2:10" ht="127.5" x14ac:dyDescent="0.25">
      <c r="B30" s="1">
        <f t="shared" si="5"/>
        <v>17</v>
      </c>
      <c r="C30" s="2">
        <v>1</v>
      </c>
      <c r="D30" s="3" t="s">
        <v>12</v>
      </c>
      <c r="E30" s="2">
        <v>1</v>
      </c>
      <c r="F30" s="5" t="s">
        <v>95</v>
      </c>
      <c r="G30" s="10" t="s">
        <v>96</v>
      </c>
      <c r="H30" s="3" t="s">
        <v>97</v>
      </c>
      <c r="I30" s="3" t="s">
        <v>98</v>
      </c>
      <c r="J30" s="3" t="s">
        <v>99</v>
      </c>
    </row>
    <row r="31" spans="2:10" ht="51" x14ac:dyDescent="0.25">
      <c r="B31" s="1">
        <f t="shared" si="5"/>
        <v>18</v>
      </c>
      <c r="C31" s="2">
        <v>1</v>
      </c>
      <c r="D31" s="3" t="s">
        <v>12</v>
      </c>
      <c r="E31" s="2">
        <v>1</v>
      </c>
      <c r="F31" s="5" t="s">
        <v>100</v>
      </c>
      <c r="G31" s="10" t="s">
        <v>101</v>
      </c>
      <c r="H31" s="3" t="s">
        <v>102</v>
      </c>
      <c r="I31" s="3" t="s">
        <v>103</v>
      </c>
      <c r="J31" s="3" t="s">
        <v>104</v>
      </c>
    </row>
    <row r="32" spans="2:10" ht="51" x14ac:dyDescent="0.25">
      <c r="B32" s="1">
        <f t="shared" si="5"/>
        <v>19</v>
      </c>
      <c r="C32" s="2">
        <v>1</v>
      </c>
      <c r="D32" s="3" t="s">
        <v>12</v>
      </c>
      <c r="E32" s="2">
        <v>1</v>
      </c>
      <c r="F32" s="5" t="s">
        <v>105</v>
      </c>
      <c r="G32" s="9" t="s">
        <v>106</v>
      </c>
      <c r="H32" s="7" t="s">
        <v>107</v>
      </c>
      <c r="I32" s="7" t="s">
        <v>108</v>
      </c>
      <c r="J32" s="7" t="s">
        <v>109</v>
      </c>
    </row>
    <row r="33" spans="2:10" ht="51" x14ac:dyDescent="0.25">
      <c r="B33" s="1">
        <f t="shared" si="5"/>
        <v>20</v>
      </c>
      <c r="C33" s="2">
        <v>1</v>
      </c>
      <c r="D33" s="3" t="s">
        <v>12</v>
      </c>
      <c r="E33" s="2">
        <v>1</v>
      </c>
      <c r="F33" s="5" t="s">
        <v>110</v>
      </c>
      <c r="G33" s="10" t="s">
        <v>111</v>
      </c>
      <c r="H33" s="3" t="s">
        <v>112</v>
      </c>
      <c r="I33" s="3" t="s">
        <v>113</v>
      </c>
      <c r="J33" s="3" t="s">
        <v>114</v>
      </c>
    </row>
    <row r="34" spans="2:10" ht="51" x14ac:dyDescent="0.25">
      <c r="B34" s="1">
        <f t="shared" si="5"/>
        <v>21</v>
      </c>
      <c r="C34" s="2">
        <v>1</v>
      </c>
      <c r="D34" s="3" t="s">
        <v>12</v>
      </c>
      <c r="E34" s="2">
        <v>1</v>
      </c>
      <c r="F34" s="5" t="s">
        <v>115</v>
      </c>
      <c r="G34" s="10" t="s">
        <v>116</v>
      </c>
      <c r="H34" s="3" t="s">
        <v>117</v>
      </c>
      <c r="I34" s="3" t="s">
        <v>118</v>
      </c>
      <c r="J34" s="3" t="s">
        <v>119</v>
      </c>
    </row>
    <row r="35" spans="2:10" ht="51" x14ac:dyDescent="0.25">
      <c r="B35" s="1">
        <f>ROW()-ROW($B$13)</f>
        <v>22</v>
      </c>
      <c r="C35" s="2">
        <v>1</v>
      </c>
      <c r="D35" s="3" t="s">
        <v>12</v>
      </c>
      <c r="E35" s="2">
        <v>1</v>
      </c>
      <c r="F35" s="5" t="s">
        <v>120</v>
      </c>
      <c r="G35" s="9" t="s">
        <v>121</v>
      </c>
      <c r="H35" s="7" t="s">
        <v>122</v>
      </c>
      <c r="I35" s="7" t="s">
        <v>123</v>
      </c>
      <c r="J35" s="7" t="s">
        <v>124</v>
      </c>
    </row>
    <row r="36" spans="2:10" ht="51" x14ac:dyDescent="0.25">
      <c r="B36" s="1">
        <f t="shared" ref="B36:B55" si="6">ROW()-ROW($B$13)</f>
        <v>23</v>
      </c>
      <c r="C36" s="2">
        <v>1</v>
      </c>
      <c r="D36" s="3" t="s">
        <v>12</v>
      </c>
      <c r="E36" s="2">
        <v>1</v>
      </c>
      <c r="F36" s="5" t="s">
        <v>125</v>
      </c>
      <c r="G36" s="10" t="s">
        <v>126</v>
      </c>
      <c r="H36" s="3" t="s">
        <v>127</v>
      </c>
      <c r="I36" s="3" t="s">
        <v>128</v>
      </c>
      <c r="J36" s="3" t="s">
        <v>129</v>
      </c>
    </row>
    <row r="37" spans="2:10" ht="51" x14ac:dyDescent="0.25">
      <c r="B37" s="1">
        <f t="shared" si="6"/>
        <v>24</v>
      </c>
      <c r="C37" s="2">
        <v>1</v>
      </c>
      <c r="D37" s="3" t="s">
        <v>12</v>
      </c>
      <c r="E37" s="2">
        <v>1</v>
      </c>
      <c r="F37" s="5" t="s">
        <v>130</v>
      </c>
      <c r="G37" s="10" t="s">
        <v>131</v>
      </c>
      <c r="H37" s="3" t="s">
        <v>132</v>
      </c>
      <c r="I37" s="3" t="s">
        <v>133</v>
      </c>
      <c r="J37" s="3" t="s">
        <v>134</v>
      </c>
    </row>
    <row r="38" spans="2:10" ht="267.75" x14ac:dyDescent="0.25">
      <c r="B38" s="1">
        <f t="shared" si="6"/>
        <v>25</v>
      </c>
      <c r="C38" s="2">
        <v>1</v>
      </c>
      <c r="D38" s="3" t="s">
        <v>12</v>
      </c>
      <c r="E38" s="2">
        <v>1</v>
      </c>
      <c r="F38" s="5" t="s">
        <v>135</v>
      </c>
      <c r="G38" s="10" t="s">
        <v>136</v>
      </c>
      <c r="H38" s="3" t="s">
        <v>137</v>
      </c>
      <c r="I38" s="3" t="s">
        <v>138</v>
      </c>
      <c r="J38" s="3" t="s">
        <v>139</v>
      </c>
    </row>
    <row r="39" spans="2:10" ht="51" x14ac:dyDescent="0.25">
      <c r="B39" s="1">
        <f t="shared" si="6"/>
        <v>26</v>
      </c>
      <c r="C39" s="2">
        <v>1</v>
      </c>
      <c r="D39" s="3" t="s">
        <v>12</v>
      </c>
      <c r="E39" s="2">
        <v>1</v>
      </c>
      <c r="F39" s="5" t="s">
        <v>140</v>
      </c>
      <c r="G39" s="10" t="s">
        <v>141</v>
      </c>
      <c r="H39" s="3" t="s">
        <v>142</v>
      </c>
      <c r="I39" s="3" t="s">
        <v>143</v>
      </c>
      <c r="J39" s="3" t="s">
        <v>144</v>
      </c>
    </row>
    <row r="40" spans="2:10" ht="51" x14ac:dyDescent="0.25">
      <c r="B40" s="1">
        <f t="shared" si="6"/>
        <v>27</v>
      </c>
      <c r="C40" s="2">
        <v>1</v>
      </c>
      <c r="D40" s="3" t="s">
        <v>12</v>
      </c>
      <c r="E40" s="2">
        <v>1</v>
      </c>
      <c r="F40" s="5" t="s">
        <v>145</v>
      </c>
      <c r="G40" s="10" t="s">
        <v>146</v>
      </c>
      <c r="H40" s="3" t="s">
        <v>147</v>
      </c>
      <c r="I40" s="3" t="s">
        <v>148</v>
      </c>
      <c r="J40" s="3" t="s">
        <v>149</v>
      </c>
    </row>
    <row r="41" spans="2:10" ht="51" x14ac:dyDescent="0.25">
      <c r="B41" s="1">
        <f t="shared" si="6"/>
        <v>28</v>
      </c>
      <c r="C41" s="2">
        <v>1</v>
      </c>
      <c r="D41" s="3" t="s">
        <v>12</v>
      </c>
      <c r="E41" s="2">
        <v>2</v>
      </c>
      <c r="F41" s="5" t="s">
        <v>150</v>
      </c>
      <c r="G41" s="10" t="s">
        <v>151</v>
      </c>
      <c r="H41" s="3" t="s">
        <v>152</v>
      </c>
      <c r="I41" s="3" t="s">
        <v>153</v>
      </c>
      <c r="J41" s="3" t="s">
        <v>154</v>
      </c>
    </row>
    <row r="42" spans="2:10" ht="51" x14ac:dyDescent="0.25">
      <c r="B42" s="1">
        <f t="shared" si="6"/>
        <v>29</v>
      </c>
      <c r="C42" s="2">
        <v>1</v>
      </c>
      <c r="D42" s="3" t="s">
        <v>12</v>
      </c>
      <c r="E42" s="2">
        <v>2</v>
      </c>
      <c r="F42" s="5" t="s">
        <v>155</v>
      </c>
      <c r="G42" s="10" t="s">
        <v>156</v>
      </c>
      <c r="H42" s="3" t="s">
        <v>157</v>
      </c>
      <c r="I42" s="3" t="s">
        <v>158</v>
      </c>
      <c r="J42" s="3" t="s">
        <v>159</v>
      </c>
    </row>
    <row r="43" spans="2:10" ht="51" x14ac:dyDescent="0.25">
      <c r="B43" s="1">
        <f t="shared" si="6"/>
        <v>30</v>
      </c>
      <c r="C43" s="2">
        <v>1</v>
      </c>
      <c r="D43" s="3" t="s">
        <v>12</v>
      </c>
      <c r="E43" s="2">
        <v>2</v>
      </c>
      <c r="F43" s="5" t="s">
        <v>160</v>
      </c>
      <c r="G43" s="11" t="s">
        <v>161</v>
      </c>
      <c r="H43" s="8" t="s">
        <v>162</v>
      </c>
      <c r="I43" s="8" t="s">
        <v>163</v>
      </c>
      <c r="J43" s="8" t="s">
        <v>164</v>
      </c>
    </row>
    <row r="44" spans="2:10" ht="51" x14ac:dyDescent="0.25">
      <c r="B44" s="1">
        <f t="shared" si="6"/>
        <v>31</v>
      </c>
      <c r="C44" s="2">
        <v>1</v>
      </c>
      <c r="D44" s="3" t="s">
        <v>12</v>
      </c>
      <c r="E44" s="2">
        <v>2</v>
      </c>
      <c r="F44" s="5" t="s">
        <v>165</v>
      </c>
      <c r="G44" s="11" t="s">
        <v>166</v>
      </c>
      <c r="H44" s="8" t="s">
        <v>167</v>
      </c>
      <c r="I44" s="8" t="s">
        <v>168</v>
      </c>
      <c r="J44" s="8" t="s">
        <v>169</v>
      </c>
    </row>
    <row r="45" spans="2:10" ht="51" x14ac:dyDescent="0.25">
      <c r="B45" s="1">
        <f t="shared" si="6"/>
        <v>32</v>
      </c>
      <c r="C45" s="2">
        <v>1</v>
      </c>
      <c r="D45" s="3" t="s">
        <v>12</v>
      </c>
      <c r="E45" s="2">
        <v>2</v>
      </c>
      <c r="F45" s="5" t="s">
        <v>170</v>
      </c>
      <c r="G45" s="11" t="s">
        <v>171</v>
      </c>
      <c r="H45" s="8" t="s">
        <v>172</v>
      </c>
      <c r="I45" s="8" t="s">
        <v>173</v>
      </c>
      <c r="J45" s="8" t="s">
        <v>174</v>
      </c>
    </row>
    <row r="46" spans="2:10" ht="51" x14ac:dyDescent="0.25">
      <c r="B46" s="1">
        <f t="shared" si="6"/>
        <v>33</v>
      </c>
      <c r="C46" s="2">
        <v>1</v>
      </c>
      <c r="D46" s="3" t="s">
        <v>12</v>
      </c>
      <c r="E46" s="2">
        <v>2</v>
      </c>
      <c r="F46" s="5" t="s">
        <v>175</v>
      </c>
      <c r="G46" s="11" t="s">
        <v>176</v>
      </c>
      <c r="H46" s="8" t="s">
        <v>177</v>
      </c>
      <c r="I46" s="8" t="s">
        <v>178</v>
      </c>
      <c r="J46" s="8" t="s">
        <v>179</v>
      </c>
    </row>
    <row r="47" spans="2:10" ht="51" x14ac:dyDescent="0.25">
      <c r="B47" s="1">
        <f t="shared" si="6"/>
        <v>34</v>
      </c>
      <c r="C47" s="2">
        <v>1</v>
      </c>
      <c r="D47" s="3" t="s">
        <v>12</v>
      </c>
      <c r="E47" s="2">
        <v>2</v>
      </c>
      <c r="F47" s="5" t="s">
        <v>180</v>
      </c>
      <c r="G47" s="10" t="s">
        <v>181</v>
      </c>
      <c r="H47" s="3" t="s">
        <v>182</v>
      </c>
      <c r="I47" s="3" t="s">
        <v>183</v>
      </c>
      <c r="J47" s="3" t="s">
        <v>184</v>
      </c>
    </row>
    <row r="48" spans="2:10" ht="178.5" x14ac:dyDescent="0.25">
      <c r="B48" s="1">
        <f t="shared" si="6"/>
        <v>35</v>
      </c>
      <c r="C48" s="2">
        <v>1</v>
      </c>
      <c r="D48" s="3" t="s">
        <v>12</v>
      </c>
      <c r="E48" s="2">
        <v>3</v>
      </c>
      <c r="F48" s="5" t="s">
        <v>185</v>
      </c>
      <c r="G48" s="10" t="s">
        <v>186</v>
      </c>
      <c r="H48" s="3" t="s">
        <v>187</v>
      </c>
      <c r="I48" s="3" t="s">
        <v>188</v>
      </c>
      <c r="J48" s="3" t="s">
        <v>189</v>
      </c>
    </row>
    <row r="49" spans="2:10" ht="331.5" x14ac:dyDescent="0.25">
      <c r="B49" s="1">
        <f t="shared" si="6"/>
        <v>36</v>
      </c>
      <c r="C49" s="2">
        <v>1</v>
      </c>
      <c r="D49" s="3" t="s">
        <v>12</v>
      </c>
      <c r="E49" s="2">
        <v>3</v>
      </c>
      <c r="F49" s="5" t="s">
        <v>190</v>
      </c>
      <c r="G49" s="10" t="s">
        <v>191</v>
      </c>
      <c r="H49" s="3" t="s">
        <v>192</v>
      </c>
      <c r="I49" s="3" t="s">
        <v>193</v>
      </c>
      <c r="J49" s="3" t="s">
        <v>194</v>
      </c>
    </row>
    <row r="50" spans="2:10" ht="51" x14ac:dyDescent="0.25">
      <c r="B50" s="1">
        <f t="shared" si="6"/>
        <v>37</v>
      </c>
      <c r="C50" s="2">
        <v>1</v>
      </c>
      <c r="D50" s="3" t="s">
        <v>12</v>
      </c>
      <c r="E50" s="2">
        <v>3</v>
      </c>
      <c r="F50" s="5" t="s">
        <v>195</v>
      </c>
      <c r="G50" s="10" t="s">
        <v>196</v>
      </c>
      <c r="H50" s="3" t="s">
        <v>197</v>
      </c>
      <c r="I50" s="3" t="s">
        <v>198</v>
      </c>
      <c r="J50" s="3" t="s">
        <v>199</v>
      </c>
    </row>
    <row r="51" spans="2:10" ht="51" x14ac:dyDescent="0.25">
      <c r="B51" s="1">
        <f t="shared" si="6"/>
        <v>38</v>
      </c>
      <c r="C51" s="2">
        <v>1</v>
      </c>
      <c r="D51" s="3" t="s">
        <v>12</v>
      </c>
      <c r="E51" s="2">
        <v>3</v>
      </c>
      <c r="F51" s="5" t="s">
        <v>200</v>
      </c>
      <c r="G51" s="10" t="s">
        <v>201</v>
      </c>
      <c r="H51" s="3" t="s">
        <v>202</v>
      </c>
      <c r="I51" s="3" t="s">
        <v>203</v>
      </c>
      <c r="J51" s="3"/>
    </row>
    <row r="52" spans="2:10" ht="51" x14ac:dyDescent="0.25">
      <c r="B52" s="1">
        <f t="shared" si="6"/>
        <v>39</v>
      </c>
      <c r="C52" s="2">
        <v>1</v>
      </c>
      <c r="D52" s="3" t="s">
        <v>12</v>
      </c>
      <c r="E52" s="2">
        <v>3</v>
      </c>
      <c r="F52" s="5" t="s">
        <v>204</v>
      </c>
      <c r="G52" s="10" t="s">
        <v>205</v>
      </c>
      <c r="H52" s="3" t="s">
        <v>206</v>
      </c>
      <c r="I52" s="3" t="s">
        <v>207</v>
      </c>
      <c r="J52" s="3" t="s">
        <v>208</v>
      </c>
    </row>
    <row r="53" spans="2:10" ht="267.75" x14ac:dyDescent="0.25">
      <c r="B53" s="1">
        <f t="shared" si="6"/>
        <v>40</v>
      </c>
      <c r="C53" s="2">
        <v>1</v>
      </c>
      <c r="D53" s="3" t="s">
        <v>12</v>
      </c>
      <c r="E53" s="2">
        <v>3</v>
      </c>
      <c r="F53" s="5" t="s">
        <v>209</v>
      </c>
      <c r="G53" s="9" t="s">
        <v>210</v>
      </c>
      <c r="H53" s="7" t="s">
        <v>211</v>
      </c>
      <c r="I53" s="7" t="s">
        <v>212</v>
      </c>
      <c r="J53" s="7" t="s">
        <v>213</v>
      </c>
    </row>
    <row r="54" spans="2:10" ht="127.5" x14ac:dyDescent="0.25">
      <c r="B54" s="1">
        <f t="shared" si="6"/>
        <v>41</v>
      </c>
      <c r="C54" s="2">
        <v>1</v>
      </c>
      <c r="D54" s="3" t="s">
        <v>12</v>
      </c>
      <c r="E54" s="2">
        <v>3</v>
      </c>
      <c r="F54" s="5" t="s">
        <v>214</v>
      </c>
      <c r="G54" s="10" t="s">
        <v>215</v>
      </c>
      <c r="H54" s="3" t="s">
        <v>216</v>
      </c>
      <c r="I54" s="3" t="s">
        <v>217</v>
      </c>
      <c r="J54" s="3" t="s">
        <v>218</v>
      </c>
    </row>
    <row r="55" spans="2:10" ht="409.5" x14ac:dyDescent="0.25">
      <c r="B55" s="1">
        <f t="shared" si="6"/>
        <v>42</v>
      </c>
      <c r="C55" s="2">
        <v>1</v>
      </c>
      <c r="D55" s="3" t="s">
        <v>12</v>
      </c>
      <c r="E55" s="2">
        <v>4</v>
      </c>
      <c r="F55" s="5" t="s">
        <v>219</v>
      </c>
      <c r="G55" s="10" t="s">
        <v>220</v>
      </c>
      <c r="H55" s="3" t="s">
        <v>221</v>
      </c>
      <c r="I55" s="3" t="s">
        <v>222</v>
      </c>
      <c r="J55" s="3" t="s">
        <v>223</v>
      </c>
    </row>
    <row r="56" spans="2:10" ht="127.5" x14ac:dyDescent="0.25">
      <c r="B56" s="1">
        <f>ROW()-ROW($B$13)</f>
        <v>43</v>
      </c>
      <c r="C56" s="2">
        <v>1</v>
      </c>
      <c r="D56" s="3" t="s">
        <v>12</v>
      </c>
      <c r="E56" s="2">
        <v>4</v>
      </c>
      <c r="F56" s="5" t="s">
        <v>224</v>
      </c>
      <c r="G56" s="9" t="s">
        <v>225</v>
      </c>
      <c r="H56" s="7" t="s">
        <v>226</v>
      </c>
      <c r="I56" s="7" t="s">
        <v>227</v>
      </c>
      <c r="J56" s="7" t="s">
        <v>228</v>
      </c>
    </row>
    <row r="57" spans="2:10" ht="267.75" x14ac:dyDescent="0.25">
      <c r="B57" s="1">
        <f t="shared" ref="B57:B76" si="7">ROW()-ROW($B$13)</f>
        <v>44</v>
      </c>
      <c r="C57" s="2">
        <v>1</v>
      </c>
      <c r="D57" s="3" t="s">
        <v>12</v>
      </c>
      <c r="E57" s="2">
        <v>4</v>
      </c>
      <c r="F57" s="5" t="s">
        <v>229</v>
      </c>
      <c r="G57" s="10" t="s">
        <v>230</v>
      </c>
      <c r="H57" s="3" t="s">
        <v>231</v>
      </c>
      <c r="I57" s="3" t="s">
        <v>232</v>
      </c>
      <c r="J57" s="3" t="s">
        <v>233</v>
      </c>
    </row>
    <row r="58" spans="2:10" ht="51" x14ac:dyDescent="0.25">
      <c r="B58" s="1">
        <f t="shared" si="7"/>
        <v>45</v>
      </c>
      <c r="C58" s="2">
        <v>2</v>
      </c>
      <c r="D58" s="3" t="s">
        <v>13</v>
      </c>
      <c r="E58" s="2">
        <v>1</v>
      </c>
      <c r="F58" s="5" t="s">
        <v>234</v>
      </c>
      <c r="G58" s="10" t="s">
        <v>235</v>
      </c>
      <c r="H58" s="3" t="s">
        <v>236</v>
      </c>
      <c r="I58" s="3" t="s">
        <v>237</v>
      </c>
      <c r="J58" s="3" t="s">
        <v>238</v>
      </c>
    </row>
    <row r="59" spans="2:10" ht="51" x14ac:dyDescent="0.25">
      <c r="B59" s="1">
        <f t="shared" si="7"/>
        <v>46</v>
      </c>
      <c r="C59" s="2">
        <v>2</v>
      </c>
      <c r="D59" s="3" t="s">
        <v>13</v>
      </c>
      <c r="E59" s="2">
        <v>1</v>
      </c>
      <c r="F59" s="5" t="s">
        <v>239</v>
      </c>
      <c r="G59" s="10" t="s">
        <v>240</v>
      </c>
      <c r="H59" s="3" t="s">
        <v>241</v>
      </c>
      <c r="I59" s="3" t="s">
        <v>242</v>
      </c>
      <c r="J59" s="3" t="s">
        <v>243</v>
      </c>
    </row>
    <row r="60" spans="2:10" ht="63.75" x14ac:dyDescent="0.25">
      <c r="B60" s="1">
        <f t="shared" si="7"/>
        <v>47</v>
      </c>
      <c r="C60" s="2">
        <v>2</v>
      </c>
      <c r="D60" s="3" t="s">
        <v>13</v>
      </c>
      <c r="E60" s="2">
        <v>1</v>
      </c>
      <c r="F60" s="5" t="s">
        <v>244</v>
      </c>
      <c r="G60" s="10" t="s">
        <v>245</v>
      </c>
      <c r="H60" s="3" t="s">
        <v>246</v>
      </c>
      <c r="I60" s="3" t="s">
        <v>247</v>
      </c>
      <c r="J60" s="3" t="s">
        <v>248</v>
      </c>
    </row>
    <row r="61" spans="2:10" ht="51" x14ac:dyDescent="0.25">
      <c r="B61" s="1">
        <f t="shared" si="7"/>
        <v>48</v>
      </c>
      <c r="C61" s="2">
        <v>2</v>
      </c>
      <c r="D61" s="3" t="s">
        <v>13</v>
      </c>
      <c r="E61" s="2">
        <v>1</v>
      </c>
      <c r="F61" s="5" t="s">
        <v>249</v>
      </c>
      <c r="G61" s="10" t="s">
        <v>250</v>
      </c>
      <c r="H61" s="3" t="s">
        <v>251</v>
      </c>
      <c r="I61" s="3" t="s">
        <v>252</v>
      </c>
      <c r="J61" s="3" t="s">
        <v>253</v>
      </c>
    </row>
    <row r="62" spans="2:10" ht="51" x14ac:dyDescent="0.25">
      <c r="B62" s="1">
        <f t="shared" si="7"/>
        <v>49</v>
      </c>
      <c r="C62" s="2">
        <v>2</v>
      </c>
      <c r="D62" s="3" t="s">
        <v>13</v>
      </c>
      <c r="E62" s="2">
        <v>1</v>
      </c>
      <c r="F62" s="5" t="s">
        <v>254</v>
      </c>
      <c r="G62" s="10" t="s">
        <v>255</v>
      </c>
      <c r="H62" s="3" t="s">
        <v>256</v>
      </c>
      <c r="I62" s="3" t="s">
        <v>257</v>
      </c>
      <c r="J62" s="3" t="s">
        <v>258</v>
      </c>
    </row>
    <row r="63" spans="2:10" ht="51" x14ac:dyDescent="0.25">
      <c r="B63" s="1">
        <f t="shared" si="7"/>
        <v>50</v>
      </c>
      <c r="C63" s="2">
        <v>2</v>
      </c>
      <c r="D63" s="3" t="s">
        <v>13</v>
      </c>
      <c r="E63" s="2">
        <v>1</v>
      </c>
      <c r="F63" s="5" t="s">
        <v>259</v>
      </c>
      <c r="G63" s="10" t="s">
        <v>260</v>
      </c>
      <c r="H63" s="3" t="s">
        <v>261</v>
      </c>
      <c r="I63" s="3" t="s">
        <v>262</v>
      </c>
      <c r="J63" s="3" t="s">
        <v>263</v>
      </c>
    </row>
    <row r="64" spans="2:10" ht="51" x14ac:dyDescent="0.25">
      <c r="B64" s="1">
        <f t="shared" si="7"/>
        <v>51</v>
      </c>
      <c r="C64" s="2">
        <v>2</v>
      </c>
      <c r="D64" s="3" t="s">
        <v>13</v>
      </c>
      <c r="E64" s="2">
        <v>1</v>
      </c>
      <c r="F64" s="5" t="s">
        <v>264</v>
      </c>
      <c r="G64" s="11" t="s">
        <v>265</v>
      </c>
      <c r="H64" s="8" t="s">
        <v>266</v>
      </c>
      <c r="I64" s="8" t="s">
        <v>267</v>
      </c>
      <c r="J64" s="8" t="s">
        <v>268</v>
      </c>
    </row>
    <row r="65" spans="2:10" ht="51" x14ac:dyDescent="0.25">
      <c r="B65" s="1">
        <f t="shared" si="7"/>
        <v>52</v>
      </c>
      <c r="C65" s="2">
        <v>2</v>
      </c>
      <c r="D65" s="3" t="s">
        <v>13</v>
      </c>
      <c r="E65" s="2">
        <v>1</v>
      </c>
      <c r="F65" s="5" t="s">
        <v>269</v>
      </c>
      <c r="G65" s="11" t="s">
        <v>270</v>
      </c>
      <c r="H65" s="8" t="s">
        <v>271</v>
      </c>
      <c r="I65" s="8" t="s">
        <v>272</v>
      </c>
      <c r="J65" s="8" t="s">
        <v>273</v>
      </c>
    </row>
    <row r="66" spans="2:10" ht="51" x14ac:dyDescent="0.25">
      <c r="B66" s="1">
        <f t="shared" si="7"/>
        <v>53</v>
      </c>
      <c r="C66" s="2">
        <v>2</v>
      </c>
      <c r="D66" s="3" t="s">
        <v>13</v>
      </c>
      <c r="E66" s="2">
        <v>1</v>
      </c>
      <c r="F66" s="5" t="s">
        <v>274</v>
      </c>
      <c r="G66" s="11" t="s">
        <v>275</v>
      </c>
      <c r="H66" s="8" t="s">
        <v>276</v>
      </c>
      <c r="I66" s="8" t="s">
        <v>277</v>
      </c>
      <c r="J66" s="8" t="s">
        <v>278</v>
      </c>
    </row>
    <row r="67" spans="2:10" ht="51" x14ac:dyDescent="0.25">
      <c r="B67" s="1">
        <f t="shared" si="7"/>
        <v>54</v>
      </c>
      <c r="C67" s="2">
        <v>2</v>
      </c>
      <c r="D67" s="3" t="s">
        <v>13</v>
      </c>
      <c r="E67" s="2">
        <v>1</v>
      </c>
      <c r="F67" s="5" t="s">
        <v>279</v>
      </c>
      <c r="G67" s="11" t="s">
        <v>280</v>
      </c>
      <c r="H67" s="8" t="s">
        <v>281</v>
      </c>
      <c r="I67" s="8" t="s">
        <v>282</v>
      </c>
      <c r="J67" s="8" t="s">
        <v>283</v>
      </c>
    </row>
    <row r="68" spans="2:10" ht="51" x14ac:dyDescent="0.25">
      <c r="B68" s="1">
        <f t="shared" si="7"/>
        <v>55</v>
      </c>
      <c r="C68" s="2">
        <v>2</v>
      </c>
      <c r="D68" s="3" t="s">
        <v>13</v>
      </c>
      <c r="E68" s="2">
        <v>1</v>
      </c>
      <c r="F68" s="5" t="s">
        <v>284</v>
      </c>
      <c r="G68" s="10" t="s">
        <v>285</v>
      </c>
      <c r="H68" s="3" t="s">
        <v>286</v>
      </c>
      <c r="I68" s="3" t="s">
        <v>287</v>
      </c>
      <c r="J68" s="3" t="s">
        <v>288</v>
      </c>
    </row>
    <row r="69" spans="2:10" ht="51" x14ac:dyDescent="0.25">
      <c r="B69" s="1">
        <f t="shared" si="7"/>
        <v>56</v>
      </c>
      <c r="C69" s="2">
        <v>2</v>
      </c>
      <c r="D69" s="3" t="s">
        <v>13</v>
      </c>
      <c r="E69" s="2">
        <v>1</v>
      </c>
      <c r="F69" s="5" t="s">
        <v>289</v>
      </c>
      <c r="G69" s="10" t="s">
        <v>290</v>
      </c>
      <c r="H69" s="3" t="s">
        <v>291</v>
      </c>
      <c r="I69" s="3" t="s">
        <v>292</v>
      </c>
      <c r="J69" s="3" t="s">
        <v>293</v>
      </c>
    </row>
    <row r="70" spans="2:10" ht="51" x14ac:dyDescent="0.25">
      <c r="B70" s="1">
        <f t="shared" si="7"/>
        <v>57</v>
      </c>
      <c r="C70" s="2">
        <v>2</v>
      </c>
      <c r="D70" s="3" t="s">
        <v>13</v>
      </c>
      <c r="E70" s="2">
        <v>1</v>
      </c>
      <c r="F70" s="5" t="s">
        <v>294</v>
      </c>
      <c r="G70" s="10" t="s">
        <v>295</v>
      </c>
      <c r="H70" s="3" t="s">
        <v>296</v>
      </c>
      <c r="I70" s="3" t="s">
        <v>297</v>
      </c>
      <c r="J70" s="3" t="s">
        <v>298</v>
      </c>
    </row>
    <row r="71" spans="2:10" ht="63.75" x14ac:dyDescent="0.25">
      <c r="B71" s="1">
        <f t="shared" si="7"/>
        <v>58</v>
      </c>
      <c r="C71" s="2">
        <v>2</v>
      </c>
      <c r="D71" s="3" t="s">
        <v>13</v>
      </c>
      <c r="E71" s="2">
        <v>1</v>
      </c>
      <c r="F71" s="5" t="s">
        <v>299</v>
      </c>
      <c r="G71" s="10" t="s">
        <v>300</v>
      </c>
      <c r="H71" s="3" t="s">
        <v>301</v>
      </c>
      <c r="I71" s="3" t="s">
        <v>302</v>
      </c>
      <c r="J71" s="3" t="s">
        <v>303</v>
      </c>
    </row>
    <row r="72" spans="2:10" ht="51" x14ac:dyDescent="0.25">
      <c r="B72" s="1">
        <f t="shared" si="7"/>
        <v>59</v>
      </c>
      <c r="C72" s="2">
        <v>2</v>
      </c>
      <c r="D72" s="3" t="s">
        <v>13</v>
      </c>
      <c r="E72" s="2">
        <v>1</v>
      </c>
      <c r="F72" s="5" t="s">
        <v>304</v>
      </c>
      <c r="G72" s="10" t="s">
        <v>305</v>
      </c>
      <c r="H72" s="3" t="s">
        <v>306</v>
      </c>
      <c r="I72" s="3" t="s">
        <v>307</v>
      </c>
      <c r="J72" s="3" t="s">
        <v>308</v>
      </c>
    </row>
    <row r="73" spans="2:10" ht="102" x14ac:dyDescent="0.25">
      <c r="B73" s="1">
        <f t="shared" si="7"/>
        <v>60</v>
      </c>
      <c r="C73" s="2">
        <v>2</v>
      </c>
      <c r="D73" s="3" t="s">
        <v>13</v>
      </c>
      <c r="E73" s="2">
        <v>1</v>
      </c>
      <c r="F73" s="5" t="s">
        <v>309</v>
      </c>
      <c r="G73" s="10" t="s">
        <v>210</v>
      </c>
      <c r="H73" s="3" t="s">
        <v>310</v>
      </c>
      <c r="I73" s="3" t="s">
        <v>311</v>
      </c>
      <c r="J73" s="3" t="s">
        <v>312</v>
      </c>
    </row>
    <row r="74" spans="2:10" ht="191.25" x14ac:dyDescent="0.25">
      <c r="B74" s="1">
        <f t="shared" si="7"/>
        <v>61</v>
      </c>
      <c r="C74" s="2">
        <v>2</v>
      </c>
      <c r="D74" s="3" t="s">
        <v>13</v>
      </c>
      <c r="E74" s="2">
        <v>1</v>
      </c>
      <c r="F74" s="5" t="s">
        <v>313</v>
      </c>
      <c r="G74" s="9" t="s">
        <v>314</v>
      </c>
      <c r="H74" s="7" t="s">
        <v>315</v>
      </c>
      <c r="I74" s="7" t="s">
        <v>311</v>
      </c>
      <c r="J74" s="7" t="s">
        <v>316</v>
      </c>
    </row>
    <row r="75" spans="2:10" ht="51" x14ac:dyDescent="0.25">
      <c r="B75" s="1">
        <f t="shared" si="7"/>
        <v>62</v>
      </c>
      <c r="C75" s="2">
        <v>2</v>
      </c>
      <c r="D75" s="3" t="s">
        <v>13</v>
      </c>
      <c r="E75" s="2">
        <v>1</v>
      </c>
      <c r="F75" s="5" t="s">
        <v>317</v>
      </c>
      <c r="G75" s="10" t="s">
        <v>318</v>
      </c>
      <c r="H75" s="3" t="s">
        <v>319</v>
      </c>
      <c r="I75" s="3" t="s">
        <v>320</v>
      </c>
      <c r="J75" s="3" t="s">
        <v>321</v>
      </c>
    </row>
    <row r="76" spans="2:10" ht="51" x14ac:dyDescent="0.25">
      <c r="B76" s="1">
        <f t="shared" si="7"/>
        <v>63</v>
      </c>
      <c r="C76" s="2">
        <v>2</v>
      </c>
      <c r="D76" s="3" t="s">
        <v>13</v>
      </c>
      <c r="E76" s="2">
        <v>1</v>
      </c>
      <c r="F76" s="5" t="s">
        <v>322</v>
      </c>
      <c r="G76" s="10" t="s">
        <v>323</v>
      </c>
      <c r="H76" s="3" t="s">
        <v>324</v>
      </c>
      <c r="I76" s="3" t="s">
        <v>325</v>
      </c>
      <c r="J76" s="3" t="s">
        <v>326</v>
      </c>
    </row>
    <row r="77" spans="2:10" ht="51" x14ac:dyDescent="0.25">
      <c r="B77" s="1">
        <f>ROW()-ROW($B$13)</f>
        <v>64</v>
      </c>
      <c r="C77" s="2">
        <v>2</v>
      </c>
      <c r="D77" s="3" t="s">
        <v>13</v>
      </c>
      <c r="E77" s="2">
        <v>1</v>
      </c>
      <c r="F77" s="5" t="s">
        <v>327</v>
      </c>
      <c r="G77" s="9" t="s">
        <v>328</v>
      </c>
      <c r="H77" s="7" t="s">
        <v>329</v>
      </c>
      <c r="I77" s="7" t="s">
        <v>330</v>
      </c>
      <c r="J77" s="7" t="s">
        <v>331</v>
      </c>
    </row>
    <row r="78" spans="2:10" ht="63.75" x14ac:dyDescent="0.25">
      <c r="B78" s="1">
        <f t="shared" ref="B78:B141" si="8">ROW()-ROW($B$13)</f>
        <v>65</v>
      </c>
      <c r="C78" s="2">
        <v>2</v>
      </c>
      <c r="D78" s="3" t="s">
        <v>13</v>
      </c>
      <c r="E78" s="2">
        <v>1</v>
      </c>
      <c r="F78" s="5" t="s">
        <v>332</v>
      </c>
      <c r="G78" s="10" t="s">
        <v>333</v>
      </c>
      <c r="H78" s="3" t="s">
        <v>334</v>
      </c>
      <c r="I78" s="3" t="s">
        <v>335</v>
      </c>
      <c r="J78" s="3" t="s">
        <v>336</v>
      </c>
    </row>
    <row r="79" spans="2:10" ht="51" x14ac:dyDescent="0.25">
      <c r="B79" s="1">
        <f t="shared" si="8"/>
        <v>66</v>
      </c>
      <c r="C79" s="2">
        <v>2</v>
      </c>
      <c r="D79" s="3" t="s">
        <v>13</v>
      </c>
      <c r="E79" s="2">
        <v>1</v>
      </c>
      <c r="F79" s="5" t="s">
        <v>140</v>
      </c>
      <c r="G79" s="10" t="s">
        <v>337</v>
      </c>
      <c r="H79" s="3" t="s">
        <v>338</v>
      </c>
      <c r="I79" s="3" t="s">
        <v>339</v>
      </c>
      <c r="J79" s="3" t="s">
        <v>340</v>
      </c>
    </row>
    <row r="80" spans="2:10" ht="76.5" x14ac:dyDescent="0.25">
      <c r="B80" s="1">
        <f t="shared" si="8"/>
        <v>67</v>
      </c>
      <c r="C80" s="2">
        <v>2</v>
      </c>
      <c r="D80" s="3" t="s">
        <v>13</v>
      </c>
      <c r="E80" s="2">
        <v>1</v>
      </c>
      <c r="F80" s="5" t="s">
        <v>341</v>
      </c>
      <c r="G80" s="10" t="s">
        <v>342</v>
      </c>
      <c r="H80" s="3" t="s">
        <v>343</v>
      </c>
      <c r="I80" s="3" t="s">
        <v>344</v>
      </c>
      <c r="J80" s="3" t="s">
        <v>345</v>
      </c>
    </row>
    <row r="81" spans="2:10" ht="51" x14ac:dyDescent="0.25">
      <c r="B81" s="1">
        <f t="shared" si="8"/>
        <v>68</v>
      </c>
      <c r="C81" s="2">
        <v>2</v>
      </c>
      <c r="D81" s="3" t="s">
        <v>13</v>
      </c>
      <c r="E81" s="2">
        <v>1</v>
      </c>
      <c r="F81" s="5" t="s">
        <v>346</v>
      </c>
      <c r="G81" s="10" t="s">
        <v>347</v>
      </c>
      <c r="H81" s="3" t="s">
        <v>348</v>
      </c>
      <c r="I81" s="3"/>
      <c r="J81" s="3"/>
    </row>
    <row r="82" spans="2:10" ht="51" x14ac:dyDescent="0.25">
      <c r="B82" s="1">
        <f t="shared" si="8"/>
        <v>69</v>
      </c>
      <c r="C82" s="2">
        <v>2</v>
      </c>
      <c r="D82" s="3" t="s">
        <v>13</v>
      </c>
      <c r="E82" s="2">
        <v>1</v>
      </c>
      <c r="F82" s="5" t="s">
        <v>349</v>
      </c>
      <c r="G82" s="10" t="s">
        <v>350</v>
      </c>
      <c r="H82" s="3" t="s">
        <v>351</v>
      </c>
      <c r="I82" s="3" t="s">
        <v>352</v>
      </c>
      <c r="J82" s="3" t="s">
        <v>353</v>
      </c>
    </row>
    <row r="83" spans="2:10" ht="51" x14ac:dyDescent="0.25">
      <c r="B83" s="1">
        <f t="shared" si="8"/>
        <v>70</v>
      </c>
      <c r="C83" s="2">
        <v>2</v>
      </c>
      <c r="D83" s="3" t="s">
        <v>13</v>
      </c>
      <c r="E83" s="2">
        <v>1</v>
      </c>
      <c r="F83" s="5" t="s">
        <v>354</v>
      </c>
      <c r="G83" s="10" t="s">
        <v>355</v>
      </c>
      <c r="H83" s="3" t="s">
        <v>356</v>
      </c>
      <c r="I83" s="3" t="s">
        <v>357</v>
      </c>
      <c r="J83" s="3" t="s">
        <v>358</v>
      </c>
    </row>
    <row r="84" spans="2:10" ht="63.75" x14ac:dyDescent="0.25">
      <c r="B84" s="1">
        <f t="shared" si="8"/>
        <v>71</v>
      </c>
      <c r="C84" s="2">
        <v>2</v>
      </c>
      <c r="D84" s="3" t="s">
        <v>13</v>
      </c>
      <c r="E84" s="2">
        <v>1</v>
      </c>
      <c r="F84" s="5" t="s">
        <v>359</v>
      </c>
      <c r="G84" s="10">
        <v>1</v>
      </c>
      <c r="H84" s="3"/>
      <c r="I84" s="3"/>
      <c r="J84" s="3"/>
    </row>
    <row r="85" spans="2:10" ht="76.5" x14ac:dyDescent="0.25">
      <c r="B85" s="1">
        <f t="shared" si="8"/>
        <v>72</v>
      </c>
      <c r="C85" s="2">
        <v>2</v>
      </c>
      <c r="D85" s="3" t="s">
        <v>13</v>
      </c>
      <c r="E85" s="2">
        <v>1</v>
      </c>
      <c r="F85" s="5" t="s">
        <v>360</v>
      </c>
      <c r="G85" s="11">
        <v>1</v>
      </c>
      <c r="H85" s="8"/>
      <c r="I85" s="8"/>
      <c r="J85" s="8"/>
    </row>
    <row r="86" spans="2:10" ht="89.25" x14ac:dyDescent="0.25">
      <c r="B86" s="1">
        <f t="shared" si="8"/>
        <v>73</v>
      </c>
      <c r="C86" s="2">
        <v>2</v>
      </c>
      <c r="D86" s="3" t="s">
        <v>13</v>
      </c>
      <c r="E86" s="2">
        <v>1</v>
      </c>
      <c r="F86" s="5" t="s">
        <v>361</v>
      </c>
      <c r="G86" s="11">
        <v>2</v>
      </c>
      <c r="H86" s="8"/>
      <c r="I86" s="8"/>
      <c r="J86" s="8"/>
    </row>
    <row r="87" spans="2:10" ht="165.75" x14ac:dyDescent="0.25">
      <c r="B87" s="1">
        <f t="shared" si="8"/>
        <v>74</v>
      </c>
      <c r="C87" s="2">
        <v>2</v>
      </c>
      <c r="D87" s="3" t="s">
        <v>13</v>
      </c>
      <c r="E87" s="2">
        <v>2</v>
      </c>
      <c r="F87" s="5" t="s">
        <v>362</v>
      </c>
      <c r="G87" s="11" t="s">
        <v>363</v>
      </c>
      <c r="H87" s="8"/>
      <c r="I87" s="8"/>
      <c r="J87" s="8"/>
    </row>
    <row r="88" spans="2:10" ht="178.5" x14ac:dyDescent="0.25">
      <c r="B88" s="1">
        <f t="shared" si="8"/>
        <v>75</v>
      </c>
      <c r="C88" s="2">
        <v>2</v>
      </c>
      <c r="D88" s="3" t="s">
        <v>13</v>
      </c>
      <c r="E88" s="2">
        <v>2</v>
      </c>
      <c r="F88" s="5" t="s">
        <v>364</v>
      </c>
      <c r="G88" s="11">
        <v>4</v>
      </c>
      <c r="H88" s="8"/>
      <c r="I88" s="8"/>
      <c r="J88" s="8"/>
    </row>
    <row r="89" spans="2:10" ht="51" x14ac:dyDescent="0.25">
      <c r="B89" s="1">
        <f t="shared" si="8"/>
        <v>76</v>
      </c>
      <c r="C89" s="2">
        <v>2</v>
      </c>
      <c r="D89" s="3" t="s">
        <v>13</v>
      </c>
      <c r="E89" s="2">
        <v>2</v>
      </c>
      <c r="F89" s="5" t="s">
        <v>365</v>
      </c>
      <c r="G89" s="10" t="s">
        <v>366</v>
      </c>
      <c r="H89" s="3" t="s">
        <v>367</v>
      </c>
      <c r="I89" s="3" t="s">
        <v>368</v>
      </c>
      <c r="J89" s="3" t="s">
        <v>369</v>
      </c>
    </row>
    <row r="90" spans="2:10" ht="51" x14ac:dyDescent="0.25">
      <c r="B90" s="1">
        <f t="shared" si="8"/>
        <v>77</v>
      </c>
      <c r="C90" s="2">
        <v>2</v>
      </c>
      <c r="D90" s="3" t="s">
        <v>13</v>
      </c>
      <c r="E90" s="2">
        <v>2</v>
      </c>
      <c r="F90" s="5" t="s">
        <v>370</v>
      </c>
      <c r="G90" s="10" t="s">
        <v>371</v>
      </c>
      <c r="H90" s="3" t="s">
        <v>372</v>
      </c>
      <c r="I90" s="3" t="s">
        <v>373</v>
      </c>
      <c r="J90" s="3" t="s">
        <v>374</v>
      </c>
    </row>
    <row r="91" spans="2:10" ht="191.25" x14ac:dyDescent="0.25">
      <c r="B91" s="1">
        <f t="shared" si="8"/>
        <v>78</v>
      </c>
      <c r="C91" s="2">
        <v>2</v>
      </c>
      <c r="D91" s="3" t="s">
        <v>13</v>
      </c>
      <c r="E91" s="2">
        <v>2</v>
      </c>
      <c r="F91" s="5" t="s">
        <v>375</v>
      </c>
      <c r="G91" s="10">
        <v>1</v>
      </c>
      <c r="H91" s="3"/>
      <c r="I91" s="3"/>
      <c r="J91" s="3"/>
    </row>
    <row r="92" spans="2:10" ht="165.75" x14ac:dyDescent="0.25">
      <c r="B92" s="1">
        <f t="shared" si="8"/>
        <v>79</v>
      </c>
      <c r="C92" s="2">
        <v>2</v>
      </c>
      <c r="D92" s="3" t="s">
        <v>13</v>
      </c>
      <c r="E92" s="2">
        <v>2</v>
      </c>
      <c r="F92" s="5" t="s">
        <v>376</v>
      </c>
      <c r="G92" s="10">
        <v>4</v>
      </c>
      <c r="H92" s="3"/>
      <c r="I92" s="3"/>
      <c r="J92" s="3"/>
    </row>
    <row r="93" spans="2:10" ht="191.25" x14ac:dyDescent="0.25">
      <c r="B93" s="1">
        <f t="shared" si="8"/>
        <v>80</v>
      </c>
      <c r="C93" s="2">
        <v>2</v>
      </c>
      <c r="D93" s="3" t="s">
        <v>13</v>
      </c>
      <c r="E93" s="2">
        <v>2</v>
      </c>
      <c r="F93" s="5" t="s">
        <v>377</v>
      </c>
      <c r="G93" s="10" t="s">
        <v>378</v>
      </c>
      <c r="H93" s="3"/>
      <c r="I93" s="3"/>
      <c r="J93" s="3"/>
    </row>
    <row r="94" spans="2:10" ht="191.25" x14ac:dyDescent="0.25">
      <c r="B94" s="1">
        <f t="shared" si="8"/>
        <v>81</v>
      </c>
      <c r="C94" s="2">
        <v>2</v>
      </c>
      <c r="D94" s="3" t="s">
        <v>13</v>
      </c>
      <c r="E94" s="2">
        <v>2</v>
      </c>
      <c r="F94" s="5" t="s">
        <v>379</v>
      </c>
      <c r="G94" s="10" t="s">
        <v>380</v>
      </c>
      <c r="H94" s="3"/>
      <c r="I94" s="3"/>
      <c r="J94" s="3"/>
    </row>
    <row r="95" spans="2:10" ht="76.5" x14ac:dyDescent="0.25">
      <c r="B95" s="1">
        <f t="shared" si="8"/>
        <v>82</v>
      </c>
      <c r="C95" s="2">
        <v>2</v>
      </c>
      <c r="D95" s="3" t="s">
        <v>13</v>
      </c>
      <c r="E95" s="2">
        <v>2</v>
      </c>
      <c r="F95" s="5" t="s">
        <v>381</v>
      </c>
      <c r="G95" s="9" t="s">
        <v>382</v>
      </c>
      <c r="H95" s="7"/>
      <c r="I95" s="7"/>
      <c r="J95" s="7"/>
    </row>
    <row r="96" spans="2:10" ht="102" x14ac:dyDescent="0.25">
      <c r="B96" s="1">
        <f t="shared" si="8"/>
        <v>83</v>
      </c>
      <c r="C96" s="2">
        <v>2</v>
      </c>
      <c r="D96" s="3" t="s">
        <v>13</v>
      </c>
      <c r="E96" s="2">
        <v>2</v>
      </c>
      <c r="F96" s="5" t="s">
        <v>383</v>
      </c>
      <c r="G96" s="10" t="s">
        <v>384</v>
      </c>
      <c r="H96" s="3"/>
      <c r="I96" s="3"/>
      <c r="J96" s="3"/>
    </row>
    <row r="97" spans="2:10" ht="51" x14ac:dyDescent="0.25">
      <c r="B97" s="1">
        <f t="shared" si="8"/>
        <v>84</v>
      </c>
      <c r="C97" s="2">
        <v>2</v>
      </c>
      <c r="D97" s="3" t="s">
        <v>13</v>
      </c>
      <c r="E97" s="2">
        <v>2</v>
      </c>
      <c r="F97" s="5" t="s">
        <v>385</v>
      </c>
      <c r="G97" s="10" t="s">
        <v>386</v>
      </c>
      <c r="H97" s="3" t="s">
        <v>387</v>
      </c>
      <c r="I97" s="3" t="s">
        <v>388</v>
      </c>
      <c r="J97" s="3" t="s">
        <v>389</v>
      </c>
    </row>
    <row r="98" spans="2:10" ht="51" x14ac:dyDescent="0.25">
      <c r="B98" s="1">
        <f t="shared" si="8"/>
        <v>85</v>
      </c>
      <c r="C98" s="2">
        <v>2</v>
      </c>
      <c r="D98" s="3" t="s">
        <v>13</v>
      </c>
      <c r="E98" s="2">
        <v>2</v>
      </c>
      <c r="F98" s="5" t="s">
        <v>390</v>
      </c>
      <c r="G98" s="11" t="s">
        <v>391</v>
      </c>
      <c r="H98" s="8" t="s">
        <v>392</v>
      </c>
      <c r="I98" s="8" t="s">
        <v>393</v>
      </c>
      <c r="J98" s="8" t="s">
        <v>394</v>
      </c>
    </row>
    <row r="99" spans="2:10" ht="140.25" x14ac:dyDescent="0.25">
      <c r="B99" s="1">
        <f t="shared" si="8"/>
        <v>86</v>
      </c>
      <c r="C99" s="2">
        <v>2</v>
      </c>
      <c r="D99" s="3" t="s">
        <v>13</v>
      </c>
      <c r="E99" s="2">
        <v>2</v>
      </c>
      <c r="F99" s="5" t="s">
        <v>395</v>
      </c>
      <c r="G99" s="11">
        <v>2</v>
      </c>
      <c r="H99" s="8"/>
      <c r="I99" s="8"/>
      <c r="J99" s="8"/>
    </row>
    <row r="100" spans="2:10" ht="114.75" x14ac:dyDescent="0.25">
      <c r="B100" s="1">
        <f t="shared" si="8"/>
        <v>87</v>
      </c>
      <c r="C100" s="2">
        <v>2</v>
      </c>
      <c r="D100" s="3" t="s">
        <v>13</v>
      </c>
      <c r="E100" s="2">
        <v>2</v>
      </c>
      <c r="F100" s="5" t="s">
        <v>396</v>
      </c>
      <c r="G100" s="11" t="s">
        <v>397</v>
      </c>
      <c r="H100" s="8"/>
      <c r="I100" s="8"/>
      <c r="J100" s="8"/>
    </row>
    <row r="101" spans="2:10" ht="51" x14ac:dyDescent="0.25">
      <c r="B101" s="1">
        <f t="shared" si="8"/>
        <v>88</v>
      </c>
      <c r="C101" s="2">
        <v>2</v>
      </c>
      <c r="D101" s="3" t="s">
        <v>13</v>
      </c>
      <c r="E101" s="2">
        <v>2</v>
      </c>
      <c r="F101" s="5" t="s">
        <v>398</v>
      </c>
      <c r="G101" s="10" t="s">
        <v>399</v>
      </c>
      <c r="H101" s="3" t="s">
        <v>400</v>
      </c>
      <c r="I101" s="3" t="s">
        <v>401</v>
      </c>
      <c r="J101" s="3" t="s">
        <v>402</v>
      </c>
    </row>
    <row r="102" spans="2:10" ht="51" x14ac:dyDescent="0.25">
      <c r="B102" s="1">
        <f t="shared" si="8"/>
        <v>89</v>
      </c>
      <c r="C102" s="2">
        <v>2</v>
      </c>
      <c r="D102" s="3" t="s">
        <v>13</v>
      </c>
      <c r="E102" s="2">
        <v>2</v>
      </c>
      <c r="F102" s="5" t="s">
        <v>403</v>
      </c>
      <c r="G102" s="10" t="s">
        <v>404</v>
      </c>
      <c r="H102" s="3" t="s">
        <v>405</v>
      </c>
      <c r="I102" s="3" t="s">
        <v>406</v>
      </c>
      <c r="J102" s="3" t="s">
        <v>407</v>
      </c>
    </row>
    <row r="103" spans="2:10" ht="51" x14ac:dyDescent="0.25">
      <c r="B103" s="1">
        <f t="shared" si="8"/>
        <v>90</v>
      </c>
      <c r="C103" s="2">
        <v>2</v>
      </c>
      <c r="D103" s="3" t="s">
        <v>13</v>
      </c>
      <c r="E103" s="2">
        <v>2</v>
      </c>
      <c r="F103" s="5" t="s">
        <v>408</v>
      </c>
      <c r="G103" s="10" t="s">
        <v>409</v>
      </c>
      <c r="H103" s="3" t="s">
        <v>410</v>
      </c>
      <c r="I103" s="3" t="s">
        <v>411</v>
      </c>
      <c r="J103" s="3" t="s">
        <v>412</v>
      </c>
    </row>
    <row r="104" spans="2:10" ht="51" x14ac:dyDescent="0.25">
      <c r="B104" s="1">
        <f t="shared" si="8"/>
        <v>91</v>
      </c>
      <c r="C104" s="2">
        <v>2</v>
      </c>
      <c r="D104" s="3" t="s">
        <v>13</v>
      </c>
      <c r="E104" s="2">
        <v>2</v>
      </c>
      <c r="F104" s="5" t="s">
        <v>413</v>
      </c>
      <c r="G104" s="10" t="s">
        <v>414</v>
      </c>
      <c r="H104" s="3"/>
      <c r="I104" s="3"/>
      <c r="J104" s="3"/>
    </row>
    <row r="105" spans="2:10" ht="216.75" x14ac:dyDescent="0.25">
      <c r="B105" s="1">
        <f t="shared" si="8"/>
        <v>92</v>
      </c>
      <c r="C105" s="2">
        <v>2</v>
      </c>
      <c r="D105" s="3" t="s">
        <v>13</v>
      </c>
      <c r="E105" s="2">
        <v>2</v>
      </c>
      <c r="F105" s="5" t="s">
        <v>415</v>
      </c>
      <c r="G105" s="10" t="s">
        <v>380</v>
      </c>
      <c r="H105" s="3"/>
      <c r="I105" s="3"/>
      <c r="J105" s="3"/>
    </row>
    <row r="106" spans="2:10" ht="165.75" x14ac:dyDescent="0.25">
      <c r="B106" s="1">
        <f t="shared" si="8"/>
        <v>93</v>
      </c>
      <c r="C106" s="2">
        <v>2</v>
      </c>
      <c r="D106" s="3" t="s">
        <v>13</v>
      </c>
      <c r="E106" s="2">
        <v>2</v>
      </c>
      <c r="F106" s="5" t="s">
        <v>416</v>
      </c>
      <c r="G106" s="10">
        <v>1</v>
      </c>
      <c r="H106" s="3"/>
      <c r="I106" s="3"/>
      <c r="J106" s="3"/>
    </row>
    <row r="107" spans="2:10" ht="89.25" x14ac:dyDescent="0.25">
      <c r="B107" s="1">
        <f t="shared" si="8"/>
        <v>94</v>
      </c>
      <c r="C107" s="2">
        <v>2</v>
      </c>
      <c r="D107" s="3" t="s">
        <v>13</v>
      </c>
      <c r="E107" s="2">
        <v>2</v>
      </c>
      <c r="F107" s="5" t="s">
        <v>417</v>
      </c>
      <c r="G107" s="9" t="s">
        <v>418</v>
      </c>
      <c r="H107" s="7" t="s">
        <v>419</v>
      </c>
      <c r="I107" s="7" t="s">
        <v>420</v>
      </c>
      <c r="J107" s="7" t="s">
        <v>421</v>
      </c>
    </row>
    <row r="108" spans="2:10" ht="242.25" x14ac:dyDescent="0.25">
      <c r="B108" s="1">
        <f t="shared" si="8"/>
        <v>95</v>
      </c>
      <c r="C108" s="2">
        <v>2</v>
      </c>
      <c r="D108" s="3" t="s">
        <v>13</v>
      </c>
      <c r="E108" s="2">
        <v>2</v>
      </c>
      <c r="F108" s="5" t="s">
        <v>422</v>
      </c>
      <c r="G108" s="10" t="s">
        <v>139</v>
      </c>
      <c r="H108" s="3"/>
      <c r="I108" s="3"/>
      <c r="J108" s="3"/>
    </row>
    <row r="109" spans="2:10" ht="191.25" x14ac:dyDescent="0.25">
      <c r="B109" s="1">
        <f t="shared" si="8"/>
        <v>96</v>
      </c>
      <c r="C109" s="2">
        <v>2</v>
      </c>
      <c r="D109" s="3" t="s">
        <v>13</v>
      </c>
      <c r="E109" s="2">
        <v>3</v>
      </c>
      <c r="F109" s="5" t="s">
        <v>423</v>
      </c>
      <c r="G109" s="10" t="s">
        <v>424</v>
      </c>
      <c r="H109" s="3"/>
      <c r="I109" s="3"/>
      <c r="J109" s="3"/>
    </row>
    <row r="110" spans="2:10" ht="344.25" x14ac:dyDescent="0.25">
      <c r="B110" s="1">
        <f t="shared" si="8"/>
        <v>97</v>
      </c>
      <c r="C110" s="2">
        <v>2</v>
      </c>
      <c r="D110" s="3" t="s">
        <v>13</v>
      </c>
      <c r="E110" s="2">
        <v>3</v>
      </c>
      <c r="F110" s="5" t="s">
        <v>425</v>
      </c>
      <c r="G110" s="10" t="s">
        <v>426</v>
      </c>
      <c r="H110" s="3" t="s">
        <v>427</v>
      </c>
      <c r="I110" s="3" t="s">
        <v>314</v>
      </c>
      <c r="J110" s="3" t="s">
        <v>428</v>
      </c>
    </row>
    <row r="111" spans="2:10" ht="51" x14ac:dyDescent="0.25">
      <c r="B111" s="1">
        <f t="shared" si="8"/>
        <v>98</v>
      </c>
      <c r="C111" s="2">
        <v>2</v>
      </c>
      <c r="D111" s="3" t="s">
        <v>13</v>
      </c>
      <c r="E111" s="2">
        <v>3</v>
      </c>
      <c r="F111" s="5" t="s">
        <v>429</v>
      </c>
      <c r="G111" s="9" t="s">
        <v>430</v>
      </c>
      <c r="H111" s="7" t="s">
        <v>431</v>
      </c>
      <c r="I111" s="7" t="s">
        <v>432</v>
      </c>
      <c r="J111" s="7" t="s">
        <v>433</v>
      </c>
    </row>
    <row r="112" spans="2:10" ht="89.25" x14ac:dyDescent="0.25">
      <c r="B112" s="1">
        <f t="shared" si="8"/>
        <v>99</v>
      </c>
      <c r="C112" s="2">
        <v>2</v>
      </c>
      <c r="D112" s="3" t="s">
        <v>13</v>
      </c>
      <c r="E112" s="2">
        <v>3</v>
      </c>
      <c r="F112" s="5" t="s">
        <v>434</v>
      </c>
      <c r="G112" s="10" t="s">
        <v>435</v>
      </c>
      <c r="H112" s="3" t="s">
        <v>436</v>
      </c>
      <c r="I112" s="3" t="s">
        <v>437</v>
      </c>
      <c r="J112" s="3" t="s">
        <v>438</v>
      </c>
    </row>
    <row r="113" spans="2:10" ht="191.25" x14ac:dyDescent="0.25">
      <c r="B113" s="1">
        <f t="shared" si="8"/>
        <v>100</v>
      </c>
      <c r="C113" s="2">
        <v>2</v>
      </c>
      <c r="D113" s="3" t="s">
        <v>13</v>
      </c>
      <c r="E113" s="2">
        <v>3</v>
      </c>
      <c r="F113" s="5" t="s">
        <v>439</v>
      </c>
      <c r="G113" s="10" t="s">
        <v>440</v>
      </c>
      <c r="H113" s="3" t="s">
        <v>441</v>
      </c>
      <c r="I113" s="3" t="s">
        <v>442</v>
      </c>
      <c r="J113" s="3" t="s">
        <v>443</v>
      </c>
    </row>
    <row r="114" spans="2:10" ht="127.5" x14ac:dyDescent="0.25">
      <c r="B114" s="1">
        <f t="shared" si="8"/>
        <v>101</v>
      </c>
      <c r="C114" s="2">
        <v>2</v>
      </c>
      <c r="D114" s="3" t="s">
        <v>13</v>
      </c>
      <c r="E114" s="2">
        <v>3</v>
      </c>
      <c r="F114" s="5" t="s">
        <v>444</v>
      </c>
      <c r="G114" s="10" t="s">
        <v>445</v>
      </c>
      <c r="H114" s="3" t="s">
        <v>446</v>
      </c>
      <c r="I114" s="3" t="s">
        <v>447</v>
      </c>
      <c r="J114" s="3" t="s">
        <v>448</v>
      </c>
    </row>
    <row r="115" spans="2:10" ht="369.75" x14ac:dyDescent="0.25">
      <c r="B115" s="1">
        <f t="shared" si="8"/>
        <v>102</v>
      </c>
      <c r="C115" s="2">
        <v>2</v>
      </c>
      <c r="D115" s="3" t="s">
        <v>13</v>
      </c>
      <c r="E115" s="2">
        <v>4</v>
      </c>
      <c r="F115" s="5" t="s">
        <v>449</v>
      </c>
      <c r="G115" s="10" t="s">
        <v>428</v>
      </c>
      <c r="H115" s="3" t="s">
        <v>450</v>
      </c>
      <c r="I115" s="3" t="s">
        <v>451</v>
      </c>
      <c r="J115" s="3" t="s">
        <v>314</v>
      </c>
    </row>
    <row r="116" spans="2:10" ht="409.5" x14ac:dyDescent="0.25">
      <c r="B116" s="1">
        <f t="shared" si="8"/>
        <v>103</v>
      </c>
      <c r="C116" s="2">
        <v>2</v>
      </c>
      <c r="D116" s="3" t="s">
        <v>13</v>
      </c>
      <c r="E116" s="2">
        <v>4</v>
      </c>
      <c r="F116" s="5" t="s">
        <v>452</v>
      </c>
      <c r="G116" s="10" t="s">
        <v>311</v>
      </c>
      <c r="H116" s="3" t="s">
        <v>427</v>
      </c>
      <c r="I116" s="3" t="s">
        <v>453</v>
      </c>
      <c r="J116" s="3" t="s">
        <v>314</v>
      </c>
    </row>
    <row r="117" spans="2:10" ht="140.25" x14ac:dyDescent="0.25">
      <c r="B117" s="1">
        <f t="shared" si="8"/>
        <v>104</v>
      </c>
      <c r="C117" s="2">
        <v>2</v>
      </c>
      <c r="D117" s="3" t="s">
        <v>13</v>
      </c>
      <c r="E117" s="2">
        <v>4</v>
      </c>
      <c r="F117" s="5" t="s">
        <v>454</v>
      </c>
      <c r="G117" s="10" t="s">
        <v>455</v>
      </c>
      <c r="H117" s="3" t="s">
        <v>456</v>
      </c>
      <c r="I117" s="3" t="s">
        <v>457</v>
      </c>
      <c r="J117" s="3" t="s">
        <v>458</v>
      </c>
    </row>
    <row r="118" spans="2:10" ht="344.25" x14ac:dyDescent="0.25">
      <c r="B118" s="1">
        <f t="shared" si="8"/>
        <v>105</v>
      </c>
      <c r="C118" s="2">
        <v>2</v>
      </c>
      <c r="D118" s="3" t="s">
        <v>13</v>
      </c>
      <c r="E118" s="2">
        <v>4</v>
      </c>
      <c r="F118" s="5" t="s">
        <v>459</v>
      </c>
      <c r="G118" s="10" t="s">
        <v>460</v>
      </c>
      <c r="H118" s="3"/>
      <c r="I118" s="3"/>
      <c r="J118" s="3"/>
    </row>
    <row r="119" spans="2:10" ht="89.25" x14ac:dyDescent="0.25">
      <c r="B119" s="1">
        <f t="shared" si="8"/>
        <v>106</v>
      </c>
      <c r="C119" s="2">
        <v>3</v>
      </c>
      <c r="D119" s="3" t="s">
        <v>14</v>
      </c>
      <c r="E119" s="2">
        <v>1</v>
      </c>
      <c r="F119" s="5" t="s">
        <v>461</v>
      </c>
      <c r="G119" s="10" t="s">
        <v>462</v>
      </c>
      <c r="H119" s="3" t="s">
        <v>463</v>
      </c>
      <c r="I119" s="3" t="s">
        <v>464</v>
      </c>
      <c r="J119" s="3" t="s">
        <v>465</v>
      </c>
    </row>
    <row r="120" spans="2:10" ht="89.25" x14ac:dyDescent="0.25">
      <c r="B120" s="1">
        <f t="shared" si="8"/>
        <v>107</v>
      </c>
      <c r="C120" s="2">
        <v>3</v>
      </c>
      <c r="D120" s="3" t="s">
        <v>14</v>
      </c>
      <c r="E120" s="2">
        <v>1</v>
      </c>
      <c r="F120" s="5" t="s">
        <v>466</v>
      </c>
      <c r="G120" s="10" t="s">
        <v>467</v>
      </c>
      <c r="H120" s="3" t="s">
        <v>468</v>
      </c>
      <c r="I120" s="3" t="s">
        <v>469</v>
      </c>
      <c r="J120" s="3" t="s">
        <v>470</v>
      </c>
    </row>
    <row r="121" spans="2:10" ht="89.25" x14ac:dyDescent="0.25">
      <c r="B121" s="1">
        <f t="shared" si="8"/>
        <v>108</v>
      </c>
      <c r="C121" s="2">
        <v>3</v>
      </c>
      <c r="D121" s="3" t="s">
        <v>14</v>
      </c>
      <c r="E121" s="2">
        <v>1</v>
      </c>
      <c r="F121" s="5" t="s">
        <v>471</v>
      </c>
      <c r="G121" s="10" t="s">
        <v>472</v>
      </c>
      <c r="H121" s="3" t="s">
        <v>473</v>
      </c>
      <c r="I121" s="3" t="s">
        <v>474</v>
      </c>
      <c r="J121" s="3" t="s">
        <v>475</v>
      </c>
    </row>
    <row r="122" spans="2:10" ht="216.75" x14ac:dyDescent="0.25">
      <c r="B122" s="1">
        <f t="shared" si="8"/>
        <v>109</v>
      </c>
      <c r="C122" s="2">
        <v>3</v>
      </c>
      <c r="D122" s="3" t="s">
        <v>14</v>
      </c>
      <c r="E122" s="2">
        <v>1</v>
      </c>
      <c r="F122" s="5" t="s">
        <v>476</v>
      </c>
      <c r="G122" s="10">
        <v>1</v>
      </c>
      <c r="H122" s="3"/>
      <c r="I122" s="3"/>
      <c r="J122" s="3"/>
    </row>
    <row r="123" spans="2:10" ht="140.25" x14ac:dyDescent="0.25">
      <c r="B123" s="1">
        <f t="shared" si="8"/>
        <v>110</v>
      </c>
      <c r="C123" s="2">
        <v>3</v>
      </c>
      <c r="D123" s="3" t="s">
        <v>14</v>
      </c>
      <c r="E123" s="2">
        <v>1</v>
      </c>
      <c r="F123" s="5" t="s">
        <v>477</v>
      </c>
      <c r="G123" s="10" t="s">
        <v>478</v>
      </c>
      <c r="H123" s="3"/>
      <c r="I123" s="3"/>
      <c r="J123" s="3"/>
    </row>
    <row r="124" spans="2:10" ht="89.25" x14ac:dyDescent="0.25">
      <c r="B124" s="1">
        <f t="shared" si="8"/>
        <v>111</v>
      </c>
      <c r="C124" s="2">
        <v>3</v>
      </c>
      <c r="D124" s="3" t="s">
        <v>14</v>
      </c>
      <c r="E124" s="2">
        <v>1</v>
      </c>
      <c r="F124" s="5" t="s">
        <v>479</v>
      </c>
      <c r="G124" s="10" t="s">
        <v>480</v>
      </c>
      <c r="H124" s="3" t="s">
        <v>481</v>
      </c>
      <c r="I124" s="3" t="s">
        <v>482</v>
      </c>
      <c r="J124" s="3" t="s">
        <v>483</v>
      </c>
    </row>
    <row r="125" spans="2:10" ht="153" x14ac:dyDescent="0.25">
      <c r="B125" s="1">
        <f t="shared" si="8"/>
        <v>112</v>
      </c>
      <c r="C125" s="2">
        <v>3</v>
      </c>
      <c r="D125" s="3" t="s">
        <v>14</v>
      </c>
      <c r="E125" s="2">
        <v>2</v>
      </c>
      <c r="F125" s="5" t="s">
        <v>484</v>
      </c>
      <c r="G125" s="10" t="s">
        <v>485</v>
      </c>
      <c r="H125" s="3"/>
      <c r="I125" s="3"/>
      <c r="J125" s="3"/>
    </row>
    <row r="126" spans="2:10" ht="89.25" x14ac:dyDescent="0.25">
      <c r="B126" s="1">
        <f t="shared" si="8"/>
        <v>113</v>
      </c>
      <c r="C126" s="2">
        <v>3</v>
      </c>
      <c r="D126" s="3" t="s">
        <v>14</v>
      </c>
      <c r="E126" s="2">
        <v>2</v>
      </c>
      <c r="F126" s="5" t="s">
        <v>486</v>
      </c>
      <c r="G126" s="10" t="s">
        <v>487</v>
      </c>
      <c r="H126" s="3"/>
      <c r="I126" s="3"/>
      <c r="J126" s="3"/>
    </row>
    <row r="127" spans="2:10" ht="89.25" x14ac:dyDescent="0.25">
      <c r="B127" s="1">
        <f t="shared" si="8"/>
        <v>114</v>
      </c>
      <c r="C127" s="2">
        <v>3</v>
      </c>
      <c r="D127" s="3" t="s">
        <v>14</v>
      </c>
      <c r="E127" s="2">
        <v>2</v>
      </c>
      <c r="F127" s="5" t="s">
        <v>488</v>
      </c>
      <c r="G127" s="10" t="s">
        <v>489</v>
      </c>
      <c r="H127" s="3" t="s">
        <v>490</v>
      </c>
      <c r="I127" s="3" t="s">
        <v>491</v>
      </c>
      <c r="J127" s="3" t="s">
        <v>492</v>
      </c>
    </row>
    <row r="128" spans="2:10" ht="89.25" x14ac:dyDescent="0.25">
      <c r="B128" s="1">
        <f t="shared" si="8"/>
        <v>115</v>
      </c>
      <c r="C128" s="2">
        <v>3</v>
      </c>
      <c r="D128" s="3" t="s">
        <v>14</v>
      </c>
      <c r="E128" s="2">
        <v>2</v>
      </c>
      <c r="F128" s="5" t="s">
        <v>493</v>
      </c>
      <c r="G128" s="10" t="s">
        <v>494</v>
      </c>
      <c r="H128" s="3" t="s">
        <v>495</v>
      </c>
      <c r="I128" s="3" t="s">
        <v>496</v>
      </c>
      <c r="J128" s="3" t="s">
        <v>497</v>
      </c>
    </row>
    <row r="129" spans="2:10" ht="89.25" x14ac:dyDescent="0.25">
      <c r="B129" s="1">
        <f t="shared" si="8"/>
        <v>116</v>
      </c>
      <c r="C129" s="2">
        <v>3</v>
      </c>
      <c r="D129" s="3" t="s">
        <v>14</v>
      </c>
      <c r="E129" s="2">
        <v>2</v>
      </c>
      <c r="F129" s="5" t="s">
        <v>498</v>
      </c>
      <c r="G129" s="10" t="s">
        <v>499</v>
      </c>
      <c r="H129" s="3" t="s">
        <v>500</v>
      </c>
      <c r="I129" s="3" t="s">
        <v>501</v>
      </c>
      <c r="J129" s="3" t="s">
        <v>502</v>
      </c>
    </row>
    <row r="130" spans="2:10" ht="89.25" x14ac:dyDescent="0.25">
      <c r="B130" s="1">
        <f t="shared" si="8"/>
        <v>117</v>
      </c>
      <c r="C130" s="2">
        <v>3</v>
      </c>
      <c r="D130" s="3" t="s">
        <v>14</v>
      </c>
      <c r="E130" s="2">
        <v>2</v>
      </c>
      <c r="F130" s="5" t="s">
        <v>503</v>
      </c>
      <c r="G130" s="10" t="s">
        <v>504</v>
      </c>
      <c r="H130" s="3" t="s">
        <v>505</v>
      </c>
      <c r="I130" s="3" t="s">
        <v>506</v>
      </c>
      <c r="J130" s="3" t="s">
        <v>507</v>
      </c>
    </row>
    <row r="131" spans="2:10" ht="89.25" x14ac:dyDescent="0.25">
      <c r="B131" s="1">
        <f t="shared" si="8"/>
        <v>118</v>
      </c>
      <c r="C131" s="2">
        <v>3</v>
      </c>
      <c r="D131" s="3" t="s">
        <v>14</v>
      </c>
      <c r="E131" s="2">
        <v>2</v>
      </c>
      <c r="F131" s="5" t="s">
        <v>508</v>
      </c>
      <c r="G131" s="10" t="s">
        <v>509</v>
      </c>
      <c r="H131" s="3" t="s">
        <v>510</v>
      </c>
      <c r="I131" s="3" t="s">
        <v>511</v>
      </c>
      <c r="J131" s="3" t="s">
        <v>512</v>
      </c>
    </row>
    <row r="132" spans="2:10" ht="89.25" x14ac:dyDescent="0.25">
      <c r="B132" s="1">
        <f t="shared" si="8"/>
        <v>119</v>
      </c>
      <c r="C132" s="2">
        <v>3</v>
      </c>
      <c r="D132" s="3" t="s">
        <v>14</v>
      </c>
      <c r="E132" s="2">
        <v>2</v>
      </c>
      <c r="F132" s="5" t="s">
        <v>513</v>
      </c>
      <c r="G132" s="10" t="s">
        <v>514</v>
      </c>
      <c r="H132" s="3" t="s">
        <v>515</v>
      </c>
      <c r="I132" s="3" t="s">
        <v>516</v>
      </c>
      <c r="J132" s="3" t="s">
        <v>517</v>
      </c>
    </row>
    <row r="133" spans="2:10" ht="89.25" x14ac:dyDescent="0.25">
      <c r="B133" s="1">
        <f t="shared" si="8"/>
        <v>120</v>
      </c>
      <c r="C133" s="2">
        <v>3</v>
      </c>
      <c r="D133" s="3" t="s">
        <v>14</v>
      </c>
      <c r="E133" s="2">
        <v>3</v>
      </c>
      <c r="F133" s="5" t="s">
        <v>498</v>
      </c>
      <c r="G133" s="10" t="s">
        <v>499</v>
      </c>
      <c r="H133" s="3" t="s">
        <v>500</v>
      </c>
      <c r="I133" s="3" t="s">
        <v>501</v>
      </c>
      <c r="J133" s="3" t="s">
        <v>502</v>
      </c>
    </row>
    <row r="134" spans="2:10" ht="89.25" x14ac:dyDescent="0.25">
      <c r="B134" s="1">
        <f t="shared" si="8"/>
        <v>121</v>
      </c>
      <c r="C134" s="2">
        <v>3</v>
      </c>
      <c r="D134" s="3" t="s">
        <v>14</v>
      </c>
      <c r="E134" s="2">
        <v>3</v>
      </c>
      <c r="F134" s="5" t="s">
        <v>518</v>
      </c>
      <c r="G134" s="10" t="s">
        <v>519</v>
      </c>
      <c r="H134" s="3" t="s">
        <v>520</v>
      </c>
      <c r="I134" s="3" t="s">
        <v>521</v>
      </c>
      <c r="J134" s="3" t="s">
        <v>522</v>
      </c>
    </row>
    <row r="135" spans="2:10" ht="318.75" x14ac:dyDescent="0.25">
      <c r="B135" s="1">
        <f t="shared" si="8"/>
        <v>122</v>
      </c>
      <c r="C135" s="2">
        <v>3</v>
      </c>
      <c r="D135" s="3" t="s">
        <v>14</v>
      </c>
      <c r="E135" s="2">
        <v>3</v>
      </c>
      <c r="F135" s="5" t="s">
        <v>523</v>
      </c>
      <c r="G135" s="10" t="s">
        <v>524</v>
      </c>
      <c r="H135" s="3" t="s">
        <v>525</v>
      </c>
      <c r="I135" s="3" t="s">
        <v>212</v>
      </c>
      <c r="J135" s="3" t="s">
        <v>526</v>
      </c>
    </row>
    <row r="136" spans="2:10" ht="382.5" x14ac:dyDescent="0.25">
      <c r="B136" s="1">
        <f t="shared" si="8"/>
        <v>123</v>
      </c>
      <c r="C136" s="2">
        <v>3</v>
      </c>
      <c r="D136" s="3" t="s">
        <v>14</v>
      </c>
      <c r="E136" s="2">
        <v>3</v>
      </c>
      <c r="F136" s="5" t="s">
        <v>527</v>
      </c>
      <c r="G136" s="10" t="s">
        <v>212</v>
      </c>
      <c r="H136" s="3" t="s">
        <v>528</v>
      </c>
      <c r="I136" s="3" t="s">
        <v>312</v>
      </c>
      <c r="J136" s="3" t="s">
        <v>524</v>
      </c>
    </row>
    <row r="137" spans="2:10" ht="153" x14ac:dyDescent="0.25">
      <c r="B137" s="1">
        <f t="shared" si="8"/>
        <v>124</v>
      </c>
      <c r="C137" s="2">
        <v>3</v>
      </c>
      <c r="D137" s="3" t="s">
        <v>14</v>
      </c>
      <c r="E137" s="2">
        <v>3</v>
      </c>
      <c r="F137" s="5" t="s">
        <v>529</v>
      </c>
      <c r="G137" s="10" t="s">
        <v>530</v>
      </c>
      <c r="H137" s="3"/>
      <c r="I137" s="3"/>
      <c r="J137" s="3"/>
    </row>
    <row r="138" spans="2:10" ht="89.25" x14ac:dyDescent="0.25">
      <c r="B138" s="1">
        <f t="shared" si="8"/>
        <v>125</v>
      </c>
      <c r="C138" s="2">
        <v>3</v>
      </c>
      <c r="D138" s="3" t="s">
        <v>14</v>
      </c>
      <c r="E138" s="2">
        <v>3</v>
      </c>
      <c r="F138" s="5" t="s">
        <v>531</v>
      </c>
      <c r="G138" s="10" t="s">
        <v>532</v>
      </c>
      <c r="H138" s="3"/>
      <c r="I138" s="3"/>
      <c r="J138" s="3"/>
    </row>
    <row r="139" spans="2:10" ht="306" x14ac:dyDescent="0.25">
      <c r="B139" s="1">
        <f t="shared" si="8"/>
        <v>126</v>
      </c>
      <c r="C139" s="2">
        <v>3</v>
      </c>
      <c r="D139" s="3" t="s">
        <v>14</v>
      </c>
      <c r="E139" s="2">
        <v>4</v>
      </c>
      <c r="F139" s="5" t="s">
        <v>533</v>
      </c>
      <c r="G139" s="10">
        <v>3</v>
      </c>
      <c r="H139" s="3"/>
      <c r="I139" s="3"/>
      <c r="J139" s="3"/>
    </row>
    <row r="140" spans="2:10" ht="140.25" x14ac:dyDescent="0.25">
      <c r="B140" s="1">
        <f t="shared" si="8"/>
        <v>127</v>
      </c>
      <c r="C140" s="2">
        <v>3</v>
      </c>
      <c r="D140" s="3" t="s">
        <v>14</v>
      </c>
      <c r="E140" s="2">
        <v>4</v>
      </c>
      <c r="F140" s="5" t="s">
        <v>534</v>
      </c>
      <c r="G140" s="10" t="s">
        <v>535</v>
      </c>
      <c r="H140" s="3" t="s">
        <v>536</v>
      </c>
      <c r="I140" s="3" t="s">
        <v>537</v>
      </c>
      <c r="J140" s="3" t="s">
        <v>538</v>
      </c>
    </row>
    <row r="141" spans="2:10" ht="242.25" x14ac:dyDescent="0.25">
      <c r="B141" s="1">
        <f t="shared" si="8"/>
        <v>128</v>
      </c>
      <c r="C141" s="2">
        <v>3</v>
      </c>
      <c r="D141" s="3" t="s">
        <v>14</v>
      </c>
      <c r="E141" s="2">
        <v>4</v>
      </c>
      <c r="F141" s="5" t="s">
        <v>539</v>
      </c>
      <c r="G141" s="10" t="s">
        <v>540</v>
      </c>
      <c r="H141" s="3" t="s">
        <v>541</v>
      </c>
      <c r="I141" s="3" t="s">
        <v>542</v>
      </c>
      <c r="J141" s="3" t="s">
        <v>543</v>
      </c>
    </row>
    <row r="142" spans="2:10" ht="216.75" x14ac:dyDescent="0.25">
      <c r="B142" s="1">
        <f t="shared" ref="B142:B144" si="9">ROW()-ROW($B$13)</f>
        <v>129</v>
      </c>
      <c r="C142" s="2">
        <v>3</v>
      </c>
      <c r="D142" s="3" t="s">
        <v>14</v>
      </c>
      <c r="E142" s="2">
        <v>4</v>
      </c>
      <c r="F142" s="5" t="s">
        <v>544</v>
      </c>
      <c r="G142" s="10" t="s">
        <v>545</v>
      </c>
      <c r="H142" s="3" t="s">
        <v>546</v>
      </c>
      <c r="I142" s="3" t="s">
        <v>547</v>
      </c>
      <c r="J142" s="3" t="s">
        <v>548</v>
      </c>
    </row>
    <row r="143" spans="2:10" ht="255" x14ac:dyDescent="0.25">
      <c r="B143" s="1">
        <f t="shared" si="9"/>
        <v>130</v>
      </c>
      <c r="C143" s="2">
        <v>3</v>
      </c>
      <c r="D143" s="3" t="s">
        <v>14</v>
      </c>
      <c r="E143" s="2">
        <v>4</v>
      </c>
      <c r="F143" s="5" t="s">
        <v>549</v>
      </c>
      <c r="G143" s="10" t="s">
        <v>550</v>
      </c>
      <c r="H143" s="3" t="s">
        <v>551</v>
      </c>
      <c r="I143" s="3" t="s">
        <v>552</v>
      </c>
      <c r="J143" s="3" t="s">
        <v>553</v>
      </c>
    </row>
    <row r="144" spans="2:10" ht="216.75" x14ac:dyDescent="0.25">
      <c r="B144" s="1">
        <f t="shared" si="9"/>
        <v>131</v>
      </c>
      <c r="C144" s="2">
        <v>3</v>
      </c>
      <c r="D144" s="3" t="s">
        <v>14</v>
      </c>
      <c r="E144" s="2">
        <v>4</v>
      </c>
      <c r="F144" s="5" t="s">
        <v>554</v>
      </c>
      <c r="G144" s="10" t="s">
        <v>555</v>
      </c>
      <c r="H144" s="3" t="s">
        <v>556</v>
      </c>
      <c r="I144" s="3" t="s">
        <v>557</v>
      </c>
      <c r="J144" s="3" t="s">
        <v>558</v>
      </c>
    </row>
  </sheetData>
  <autoFilter ref="B13:M137"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2026-10-02T02:29:31Z</dcterms:modified>
</cp:coreProperties>
</file>