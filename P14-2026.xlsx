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AD2246EB-724C-4A3D-8F33-2AAE32122AC2}" xr6:coauthVersionLast="47" xr6:coauthVersionMax="47" xr10:uidLastSave="{00000000-0000-0000-0000-000000000000}"/>
  <bookViews>
    <workbookView xWindow="-120" yWindow="-120" windowWidth="29040" windowHeight="15720" xr2:uid="{0A323993-6B0E-4465-9440-DABB234748ED}"/>
  </bookViews>
  <sheets>
    <sheet name="P13b" sheetId="1" r:id="rId1"/>
  </sheets>
  <definedNames>
    <definedName name="_xlnm._FilterDatabase" localSheetId="0" hidden="1">P13b!$B$13:$M$119</definedName>
    <definedName name="_xlnm.Print_Area" localSheetId="0">P13b!$B$1:$L$95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 l="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29" i="1" l="1"/>
  <c r="B28" i="1"/>
  <c r="B27" i="1"/>
  <c r="B26" i="1"/>
  <c r="B25" i="1"/>
  <c r="B24" i="1"/>
  <c r="B23" i="1"/>
  <c r="B22" i="1"/>
  <c r="B21" i="1"/>
  <c r="B20" i="1"/>
  <c r="B19" i="1"/>
  <c r="B18" i="1"/>
  <c r="B17" i="1"/>
  <c r="B16" i="1"/>
  <c r="B15" i="1"/>
  <c r="B14" i="1"/>
  <c r="B32" i="1"/>
  <c r="B31" i="1"/>
  <c r="B30" i="1"/>
  <c r="C13" i="1"/>
  <c r="D13" i="1"/>
  <c r="E13" i="1"/>
  <c r="F13" i="1"/>
  <c r="G13" i="1"/>
  <c r="H13" i="1"/>
  <c r="I13" i="1"/>
  <c r="J13" i="1"/>
  <c r="B13" i="1"/>
  <c r="G8" i="1" l="1"/>
  <c r="H9" i="1"/>
  <c r="H8" i="1"/>
  <c r="F9" i="1"/>
  <c r="G9" i="1"/>
  <c r="F7" i="1"/>
  <c r="G7" i="1"/>
  <c r="H7" i="1"/>
  <c r="F8" i="1"/>
  <c r="F6" i="1"/>
  <c r="G6" i="1"/>
  <c r="H6" i="1"/>
  <c r="E8" i="1" l="1"/>
  <c r="E7" i="1"/>
  <c r="E9" i="1"/>
  <c r="G5" i="1"/>
  <c r="F5" i="1"/>
  <c r="H5" i="1"/>
  <c r="E6" i="1"/>
  <c r="E5" i="1" l="1"/>
</calcChain>
</file>

<file path=xl/sharedStrings.xml><?xml version="1.0" encoding="utf-8"?>
<sst xmlns="http://schemas.openxmlformats.org/spreadsheetml/2006/main" count="353" uniqueCount="272">
  <si>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</si>
  <si>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</si>
  <si>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</si>
  <si>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</si>
  <si>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</si>
  <si>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</si>
  <si>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</si>
  <si>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</si>
  <si>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</si>
  <si>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</si>
  <si>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</si>
  <si>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</si>
  <si>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Hệ thống quy định, quy trình: Rà soát và cập nhật  quy trình, quy định, quy chế, chính sách và các tài liệu khối kỹ thuật</t>
  </si>
  <si>
    <t>Để nắm bắt tình hình cập nhật các tài liệu kỹ thuật trong tổ chức, một nhân viên nên chủ động thực hiện hành động nào với các phòng ban có vai trò chủ quản văn bản?</t>
  </si>
  <si>
    <t>Trao đổi và yêu cầu cung cấp thông tin về tiến độ các phiên rà soát tài liệu đang diễn ra hoặc đã hoàn thành.</t>
  </si>
  <si>
    <t>Kế hoạch kiểm tra, bảo trì các HTTT cần được xây dựng bao lâu một lần:</t>
  </si>
  <si>
    <t>1 lần/năm và khi có phát sinh nhu cầu</t>
  </si>
  <si>
    <t>3 năm</t>
  </si>
  <si>
    <t>2 lần/năm</t>
  </si>
  <si>
    <t>Theo yêu cầu hàng năm của PTGĐ phụ trách khối Kỹ thuật</t>
  </si>
  <si>
    <t>Khi mới làm quen với hệ thống văn bản của một đơn vị, việc xác định "phòng ban chủ quản" cho từng loại tài liệu, quy trình giúp nhân viên đạt được điều gì quan trọng nhất?</t>
  </si>
  <si>
    <t>Biết được đầu mối chính xác để trao đổi, đặt câu hỏi và nhận thông tin chính thức, cập nhật liên quan đến tài liệu, quy trình đó.</t>
  </si>
  <si>
    <t>Mục tiêu của việc thiết lập quy trình quản lý sự cố là gì?</t>
  </si>
  <si>
    <t>Giảm thiểu thời gian gián đoạn và các tác động tiêu cực đến hoạt động của HTTT và hoạt động kinh doanh</t>
  </si>
  <si>
    <t>Tăng doanh thu dịch vụ</t>
  </si>
  <si>
    <t>Giảm số lượng nhân sự vận hành các hệ thống thông tin</t>
  </si>
  <si>
    <t>Loại bỏ, hạn chế số lượng sự cố xảy ra</t>
  </si>
  <si>
    <t>Tài liệu kỹ thuật trong hệ thống CNTT của Napas cần có những đặc điểm nào để đảm bảo tính khả thi và hiệu quả khi áp dụng vào thực tế?</t>
  </si>
  <si>
    <t>Tài liệu cần chi tiết, dễ hiểu, phản ánh chính xác các quy trình, công nghệ và yêu cầu bảo mật.</t>
  </si>
  <si>
    <t>Tài liệu nên vắn tắt để dễ dàng thay đổi và cập nhật, không cần chi tiết.</t>
  </si>
  <si>
    <t>Tài liệu chỉ cần mô tả công nghệ mà không cần đề cập đến yêu cầu bảo mật hoặc quy trình vận hành.</t>
  </si>
  <si>
    <t>Tài liệu có thể được viết một lần và không cần phải cập nhật cho đến khi có sự thay đổi lớn trong hệ thống.</t>
  </si>
  <si>
    <t>Trong quá trình kiểm tra chất lượng dịch vụ CNTT tại Napas, Anh/Chị nhận thấy một số quy trình giám sát và kiểm tra chất lượng vận hành hệ thống chưa đầy đủ và thiếu các tiêu chuẩn cụ thể về bảo mật. Để cải thiện quy trình này, Anh/Chị sẽ thực hiện hành động gì?</t>
  </si>
  <si>
    <t>Cập nhật các quy trình kiểm tra chất lượng, bổ sung các tiêu chuẩn bảo mật và đảm bảo hệ thống được kiểm tra toàn diện.</t>
  </si>
  <si>
    <t>Đề xuất việc giám sát bảo mật trong hệ thống chỉ khi có sự cố và không cần cập nhật quy trình kiểm tra chất lượng thường xuyên.</t>
  </si>
  <si>
    <t>Đề xuất bỏ qua quy trình giám sát bảo mật và chỉ tập trung vào các kiểm tra hiệu suất hệ thống.</t>
  </si>
  <si>
    <t>Cập nhật quy trình kiểm tra chất lượng mà không cần liên hệ với các bộ phận khác trong tổ chức.</t>
  </si>
  <si>
    <t>Chính sách An ninh bảo mật hệ thống CNTT là tài liệu được ban hành ở cấp nào:</t>
  </si>
  <si>
    <t>Công ty</t>
  </si>
  <si>
    <t>Khối kỹ thuật</t>
  </si>
  <si>
    <t>Phòng An toàn thông tin</t>
  </si>
  <si>
    <t>Phòng GPCNTT</t>
  </si>
  <si>
    <t>Khi một nhân viên cần "Phân loại được các văn bản tài liệu khối Kỹ thuật và phòng chủ quản", kỹ năng nào là cốt lõi giúp họ thực hiện tốt công việc này?</t>
  </si>
  <si>
    <t>Khả năng nhận diện chính xác mục đích chính, phạm vi áp dụng cụ thể và đơn vị/phòng ban chịu trách nhiệm chính của từng loại tài liệu.</t>
  </si>
  <si>
    <t>Quy trình tạo tài khoản/ cấp quyền truy cập HTTT bao gồm các bước nào sau đây:</t>
  </si>
  <si>
    <t>Tạo mới yêu cầu -&gt; Điền thông tin vào biểu mẫu -&gt; Trưởng phòng phê duyệt -&gt; Phê duyệt ngoại lệ (nếu có) -&gt; Tạo tài khoản/ cấp quyền -&gt; Thông báo tài khoản/ quyền được cấp cho người yêu cầu -&gt; Cập nhật hồ sơ người dùng</t>
  </si>
  <si>
    <t>Tạo mới yêu cầu -&gt; Kiểm tra thông tin yêu cầu -&gt; Thực hiện yêu cầu -&gt; Cập nhật hồ sơ người dùng</t>
  </si>
  <si>
    <t>Tạo mới yêu cầu -&gt; Xác định đúng yêu cầu -&gt; Cấp thông tin tài khoản -&gt; Gửi thông báo kích hoạt</t>
  </si>
  <si>
    <t>Tài liệu “Chính sách đảm bảo an toàn thông tin cho hệ thống thanh toán liên ngân hàng” có đặc điểm nào sau đây?</t>
  </si>
  <si>
    <t>Tài liệu định hướng ở cấp độ chiến lược cho toàn bộ hoạt động bảo mật CNTT</t>
  </si>
  <si>
    <t>Mô tả chi tiết trình tự xử lý sự cố bảo mật hệ thống</t>
  </si>
  <si>
    <t>Áp dụng cho Phòng Quản trị hệ thống và Phòng An toàn thông tin</t>
  </si>
  <si>
    <t>Văn bản phục vụ mục đích kiểm thử hệ thống theo khung ITIL</t>
  </si>
  <si>
    <t>Trong quá trình quản lý "Hệ thống quy định, quy trình", vai trò "Đầu mối trao đổi với các phòng chủ quản về việc lập kế hoạch rà soát, cập nhật tài liệu liên quan" nhằm mục đích chính là gì?</t>
  </si>
  <si>
    <t>Thống nhất về phạm vi công việc, lịch trình thực hiện và nguồn lực cần thiết cho việc rà soát, nhằm đảm bảo sự phối hợp nhịp nhàng và hiệu quả giữa các bên.</t>
  </si>
  <si>
    <t>Khi rà soát một quy trình kỹ thuật có ảnh hưởng đến nhiều phòng ban, bạn phát hiện một mâu thuẫn giữa thực tế triển khai và nội dung quy định. Bạn nên:</t>
  </si>
  <si>
    <t>Đề xuất tổ chức họp rà soát đa phòng ban, đối chiếu với quy định Khối/Công ty và cập nhật văn bản để phản ánh thực tế chính xác hơn</t>
  </si>
  <si>
    <t>Gửi mail yêu cầu tất cả các phòng ban thực hiện đúng quy trình</t>
  </si>
  <si>
    <t>Ghi chú lại và chờ đến kỳ rà soát định kỳ</t>
  </si>
  <si>
    <t>Bỏ qua vì không thuộc phạm vi phụ trách</t>
  </si>
  <si>
    <t>Để thực hiện việc "rà soát, cập nhật nội dung đang phù hợp với quy định chung của Khối/Công ty" khi làm việc với các tài liệu, quy trình, chuyên viên cần đảm bảo yếu tố nào là tiên quyết?</t>
  </si>
  <si>
    <t>Nội dung của tài liệu, quy trình cụ thể đang được rà soát phải nhất quán, đồng bộ và không có bất kỳ điểm nào mâu thuẫn với các chủ trương, chính sách, quy định ở cấp độ cao hơn của Khối hoặc Công ty.</t>
  </si>
  <si>
    <t>(1) và (3)</t>
  </si>
  <si>
    <t>(1) và (2)</t>
  </si>
  <si>
    <t>(2) và (3)</t>
  </si>
  <si>
    <t>(1), (2), (3), (4)</t>
  </si>
  <si>
    <t>Napas vừa triển khai công nghệ mới cho hệ thống thanh toán điện tử. Công nghệ này đòi hỏi một số thay đổi trong quy trình vận hành để phù hợp với các tính năng mới. Tuy nhiên, quy trình hiện tại của Napas đã được sử dụng trong một thời gian dài và được các phòng ban khác sử dụng thường xuyên. Anh/Chị sẽ làm gì để cập nhật quy trình trong trường hợp này?
(1) Tiến hành rà soát lại quy trình hiện tại, cập nhật các bước liên quan đến công nghệ mới và tổ chức các buổi đào tạo cho các phòng ban liên quan về quy trình mới.
(2) Đánh giá quy trình hiện tại, xác định các bước cần điều chỉnh và phối hợp với các bộ phận IT, bảo mật, pháp lý để thực hiện các thay đổi.
(3) Cập nhật ngay lập tức quy trình chỉ dựa trên tính năng công nghệ mới mà không cần tham khảo ý kiến các phòng ban khác.
(4) Tạo bản cập nhật quy trình và thông báo cho các phòng ban sử dụng quy trình cũ, yêu cầu họ tự áp dụng công nghệ mới.</t>
  </si>
  <si>
    <t>Trong việc quản lý "Hệ thống quy định, quy trình", khi một chuyên viên "Tham chiếu đến các điều kiện, quy định trong các văn bản khối kỹ thuật để đưa ra khuyến nghị, tư vấn", năng lực cốt lõi nào được thể hiện?</t>
  </si>
  <si>
    <t>Khả năng phân tích, diễn giải chính xác và sâu sắc nội dung của các văn bản, đồng thời liên hệ một cách logic với tình huống thực tế để đưa ra lời khuyên hữu ích và phù hợp.</t>
  </si>
  <si>
    <t>Hiện tại quy trình xử lý yêu cầu thay đổi cấu hình hệ thống (thay đổi chính sách truy cập, cấu hình máy chủ, điều chỉnh thông số giao tiếp API...) tại Napas mất trung bình 10 ngày do thực hiện thủ công qua email, không có cơ chế theo dõi tiến độ. Quy trình gồm 4 đơn vị phối hợp: Phát triển phần mềm, Hạ tầng, Vận hành và An toàn thông tin. Ban Điều hành yêu cầu rút ngắn thời gian xử lý xuống dưới 3 ngày, có kiểm soát lịch sử, phân quyền rõ trách nhiệm, thống kê được thời gian từng bước. Anh/Chị được yêu cầu xây dựng kế hoạch số hóa quy trình này trong vòng 2 tuần. Phương án nào là giải pháp phù hợp nhất?</t>
  </si>
  <si>
    <t>(1) Thiết kế quy trình workflow dạng song song để các đơn vị có thể xử lý đồng thời; (2) Phân quyền theo nhóm người dùng (quản lý, xử lý, phê duyệt); (3) Thiết lập hạn xử lý cụ thể cho từng bước và hiển thị cảnh báo khi chậm tiến độ; (4) Tạo dashboard theo dõi tình trạng xử lý theo thời gian thực</t>
  </si>
  <si>
    <t>(1) Tạo biểu mẫu yêu cầu thay đổi cấu hình bằng file Word chuẩn; (2) Phân công xử lý theo email gửi đính kèm biểu mẫu; (3) Theo dõi tiến độ xử lý thông qua nhóm chat nội bộ; (4) Rà soát kết quả xử lý vào cuối tháng để cập nhật báo cáo</t>
  </si>
  <si>
    <t>(1) Tích hợp biểu mẫu yêu cầu vào hệ thống hiện có; (2) Phân quyền người dùng theo cấp phòng nhưng không theo vai trò: (3) Cho phép các đơn vị cập nhật tiến độ trực tiếp bằng tay; (4) Tổng hợp trạng thái xử lý theo tuần bằng bảng tính offline</t>
  </si>
  <si>
    <t>(1) Xây dựng checklist xử lý thay đổi cho từng đơn vị phối hợp; (2) Giao trưởng nhóm từng đơn vị kiểm soát riêng phần xử lý của mình; (3) Tổng hợp tiến độ chung hàng ngày bằng báo cáo email; (4) Đánh giá SLA theo phản hồi cuối cùng từ bên yêu cầu</t>
  </si>
  <si>
    <t>Một quy trình kỹ thuật sử dụng ngôn ngữ quá chuyên môn, gây khó hiểu cho các phòng nghiệp vụ liên quan. Bạn nên:</t>
  </si>
  <si>
    <t>Đề xuất điều chỉnh lại phần mô tả, bổ sung giải thích/bảng thuật ngữ và gợi ý tách riêng phần kỹ thuật sâu cho đối tượng chuyên môn</t>
  </si>
  <si>
    <t>Không can thiệp vì nội dung mang tính kỹ thuật cao</t>
  </si>
  <si>
    <t>Yêu cầu viết lại toàn bộ theo ngôn ngữ phổ thông</t>
  </si>
  <si>
    <t>Giữ nguyên vì không ảnh hưởng đến chức năng hệ thống</t>
  </si>
  <si>
    <t>Trong một buổi rà soát liên phòng ban, bạn phát hiện một quy trình có mâu thuẫn với Chính sách quản lý lỗ hổng kỹ thuật và bản vá lỗi. Hành động phù hợp nhất là gì?</t>
  </si>
  <si>
    <t>Ghi chú nội dung mâu thuẫn và đề nghị chủ sở hữu văn bản điều chỉnh cho đồng bộ với Quy chế cấp Khối, có kèm dẫn chứng cụ thể</t>
  </si>
  <si>
    <t>Bỏ qua vì không thuộc trách nhiệm chính của bạn</t>
  </si>
  <si>
    <t>Yêu cầu hủy toàn bộ quy trình cũ</t>
  </si>
  <si>
    <t>Gửi yêu cầu về Ban Pháp chế</t>
  </si>
  <si>
    <t>Trong việc "Tối ưu hóa hệ thống văn bản", khi một chuyên gia "Lập kế hoạch rà soát văn bản định kỳ của Phòng" và đồng thời "Tham chiếu đến các quy định/tiêu chuẩn/quy chế của ngành", mục đích chính của sự kết hợp này là gì?</t>
  </si>
  <si>
    <t>Đảm bảo rằng hệ thống văn bản nội bộ của Phòng luôn được cập nhật kịp thời, duy trì sự phù hợp với các yêu cầu pháp lý, tiêu chuẩn chuyên ngành và các thực tiễn tốt nhất, đồng thời loại bỏ được sự dư thừa, lỗi thời hoặc mâu thuẫn.</t>
  </si>
  <si>
    <t>Giám sát thực thi: Kiểm soát và giám sát thực thi quy trình, quy định, quy chế, chính sách CNTT</t>
  </si>
  <si>
    <t>Anh/Chị thực hiện giám sát tuân thủ quy trình "Quản lý vận hành định kỳ hệ thống lõi". Đâu là cách tiếp cận hiệu quả và phù hợp nhất?</t>
  </si>
  <si>
    <t>Làm rõ phạm vi giám sát, phối hợp với đơn vị thực hiện để kiểm tra chứng từ và báo cáo kết quả.</t>
  </si>
  <si>
    <t>Gửi email nhắc nhở toàn hệ thống, đề nghị các đơn vị tự đánh giá và phản hồi đúng thời hạn.</t>
  </si>
  <si>
    <t>Trao đổi với nhân sự kỹ thuật về kinh nghiệm triển khai để đánh giá mức độ tuân thủ.</t>
  </si>
  <si>
    <t>Thống kê nhanh các quy trình đang vận hành để đánh giá rủi ro tiềm ẩn từ góc độ hệ thống.</t>
  </si>
  <si>
    <t>Quá trình giám sát hành động khắc phục, bộ phận Quản lý chất lượng cần thực hiện:
(1) Thực hiện đánh giá lại và kiểm tra kết quả các hành động khắc phục
(2)  Kiểm tra nếu bộ phận đã hoàn thành hành đông khắc phục, đóng lại điểm không phù hợp
(3) Yêu cầu các phòng ban chủ động tổng hợp điểm không phù hợp và khắc phục ở Quý 4 hàng năm
(4) Kiểm tra hành động khắc phục: Nếu bộ phận chưa hoàn thành hoặc không hiệu quả, chưa đóng lại điểm không phù hợp; hoặc đóng lại điểm không phù hợp cũ và ghi điểm không phù hợp mới</t>
  </si>
  <si>
    <t>(1), (2), (4)</t>
  </si>
  <si>
    <t>(1), (2), (3)</t>
  </si>
  <si>
    <t>(2), (3), (4)</t>
  </si>
  <si>
    <t>(1), (3), (4)</t>
  </si>
  <si>
    <t>Trong báo cáo kết quả giám sát tuân thủ quy trình kỹ thuật, yếu tố nào sau đây nên được thể hiện để đảm bảo đầy đủ và rõ ràng?</t>
  </si>
  <si>
    <t>Tình trạng thực hiện từng bước trong quy trình, phân tích nguyên nhân chênh lệch và đề xuất hướng cải tiến.</t>
  </si>
  <si>
    <t>Số lượng cuộc họp triển khai, phản hồi của người thực hiện và các vấn đề nội bộ chưa thống nhất.</t>
  </si>
  <si>
    <t>Danh sách những tài liệu được sử dụng trong triển khai, thông tin chung về các phòng ban tham gia.</t>
  </si>
  <si>
    <t xml:space="preserve"> Tổng hợp kết quả theo biểu mẫu chuẩn, đính kèm nhận xét của đơn vị chủ trì về các thay đổi trong hệ thống.</t>
  </si>
  <si>
    <t>Trong quá trình "phối hợp với các phòng liên quan tiến hành đánh giá sự tuân thủ trong vận hành dịch vụ CNTT", hành động nào thể hiện sự chủ động và chuẩn bị tốt của một nhân viên giám sát?</t>
  </si>
  <si>
    <t>Lên lịch làm việc cụ thể, chuẩn bị trước các câu hỏi hoặc thông tin cần thiết trước khi trao đổi với các phòng ban đó về việc tuân thủ quy trình.</t>
  </si>
  <si>
    <t>Việc thực hiện đánh giá nội bộ đối với mỗi hệ thống được thực hiện theo tần suất như thế nào?</t>
  </si>
  <si>
    <t>Theo kế hoạch đánh giá nội bộ đã được phê duyệt</t>
  </si>
  <si>
    <t>Hàng tháng</t>
  </si>
  <si>
    <t>Định kỳ 3 tháng/ lần</t>
  </si>
  <si>
    <t>Định kỳ 6 tháng/lần</t>
  </si>
  <si>
    <t>Các hoạt động đánh giá nội bộ nào sau đây là hoạt động thường xuyên của team Quản lý chất lượng
A. Đánh giá tính tuân thủ đối với các hệ thống/ dịch vụ theo kế hoạch đã phê duyệt
B. Đánh giá tính tuân thủ đối với các dự án phát triển phần mềm đã hoàn thành
C. Đánh giá tính tuân thủ của các phòng/ban trong công ty</t>
  </si>
  <si>
    <t>A,B</t>
  </si>
  <si>
    <t>Để có thể "Nắm rõ các bước kiểm soát, đánh giá tính tuân thủ trong vận hành dịch vụ CNTT liên quan đến một mảng dịch vụ cụ thể", yếu tố nào là quan trọng nhất đối với người giám sát?</t>
  </si>
  <si>
    <t>Sự hiểu biết sâu sắc về quy trình nghiệp vụ của mảng dịch vụ đó và các điểm kiểm soát trọng yếu đã được xác định.</t>
  </si>
  <si>
    <t>Khi áp dụng ITIL vào quản lý dịch vụ CNTT tại Napas, yếu tố nào quan trọng nhất để đảm bảo tính hiệu quả trong việc cung cấp dịch vụ?</t>
  </si>
  <si>
    <t>Đảm bảo đúng quy trình quản lý sự cố, thiết lập các bước quy trình thay đổi, đánh giá mức độ ảnh hưởng của thay đổi, và cải tiến quy trình dịch vụ</t>
  </si>
  <si>
    <t>Quy trình kiểm soát sự thay đổi, phân tích sự cố, lập kế hoạch khôi phục, và báo cáo sự cố hàng ngày</t>
  </si>
  <si>
    <t>Xác định mức độ ảnh hưởng của sự cố, kế hoạch đào tạo nhân viên, phân quyền truy cập hệ thống, theo dõi thời gian phản hồi</t>
  </si>
  <si>
    <t>Cập nhật thông tin theo dõi sự thay đổi trong quy trình, quản lý các yêu cầu dịch vụ và hỗ trợ trực tiếp từ ngân hàng</t>
  </si>
  <si>
    <t>Khi thực hiện "Định kỳ phối hợp với các phòng liên quan tiến hành đánh giá sự tuân thủ theo quy định" trong việc giám sát một mảng dịch vụ, hành động nào thể hiện sự chuyên nghiệp và hiệu quả?</t>
  </si>
  <si>
    <t>Xây dựng kế hoạch đánh giá chi tiết, thông báo lịch trình và nội dung làm việc cụ thể cho các bên liên quan từ trước, đồng thời chuẩn bị sẵn các công cụ, dữ liệu cần thiết.</t>
  </si>
  <si>
    <t>Khi tổ chức đánh giá định kỳ tính tuân thủ quy trình hỗ trợ công nghệ, Anh/Chị cần chuẩn bị những nội dung nào?</t>
  </si>
  <si>
    <t>Thống kê số lượng yêu cầu hỗ trợ, đánh giá thời gian xử lý, đối chiếu log hệ thống, rà soát hồ sơ xử lý</t>
  </si>
  <si>
    <t>Danh sách đơn vị sử dụng dịch vụ, số lượng cán bộ kỹ thuật, mức độ hài lòng người dùng cuối, lịch làm việc tuần</t>
  </si>
  <si>
    <t>Nội dung hợp đồng hỗ trợ, danh sách phần mềm triển khai, lịch sử cập nhật quy trình, kết quả kiểm thử tự động</t>
  </si>
  <si>
    <t>Tài liệu kiểm kê thiết bị, danh sách hệ thống chưa số hóa, báo cáo ngân hàng đối tác, yêu cầu từ trung tâm điều hành</t>
  </si>
  <si>
    <t>Mục nào sau đây không thể thiếu trong checklist đánh giá nội bộ cho các hệ thống:</t>
  </si>
  <si>
    <t>Quản lý văn bản</t>
  </si>
  <si>
    <t>Quản lý thay đổi</t>
  </si>
  <si>
    <t>Quản lý sự cố</t>
  </si>
  <si>
    <t>Quản lý nhân sự</t>
  </si>
  <si>
    <t>Nếu một nhân viên chịu trách nhiệm "Giám sát một mảng dịch vụ" và cần "Nắm rõ các bước kiểm soát, đánh giá tính tuân thủ" liên quan đến mảng đó, họ nên bắt đầu từ đâu?</t>
  </si>
  <si>
    <t>Nghiên cứu kỹ lưỡng các quy trình vận hành, các hướng dẫn thực hiện kiểm soát và các bộ tiêu chí đánh giá đã được chính thức ban hành cho mảng dịch vụ đó.</t>
  </si>
  <si>
    <t>Nội dung nào sau đây KHÔNG phải là nội dung cần kiểm tra khi đánh giá về tính tuân thủ theo Quy trình quản lý sự cố:</t>
  </si>
  <si>
    <t>Sự cố cuối cùng đã được TGĐ phê duyệt chưa?</t>
  </si>
  <si>
    <t>Sự cố có truyền thông định kỳ trong quá trình xử lý sự cố</t>
  </si>
  <si>
    <t>Báo cáo sự cố có được ghi nhận trong vòng 1 ngày kể từ khi xử lý xong sự cố không?</t>
  </si>
  <si>
    <t>Theo quy trình quản lý thay đổi, các SLA nào sau đây nhóm quản lý thay đổi cần tuân thủ</t>
  </si>
  <si>
    <t>Triển khai thay đổi</t>
  </si>
  <si>
    <t>Thành lập Change team</t>
  </si>
  <si>
    <t>Đánh giá nội dung thay đổi từ Change Assessor</t>
  </si>
  <si>
    <t>Thẩm định hồ sơ từ QA</t>
  </si>
  <si>
    <t>Trong bối cảnh "Giám sát một mảng dịch vụ", việc "Nắm rõ một mảng quản lý chất lượng dịch vụ CNTT" như quản lý sự cố công nghệ, giúp nhân viên làm gì khi đánh giá tính tuân thủ?</t>
  </si>
  <si>
    <t>Xác định được các yêu cầu tuân thủ cụ thể liên quan đến việc xử lý sự cố (ví dụ: thời gian phản hồi, quy trình ghi nhận) và đánh giá việc thực hiện theo đó.</t>
  </si>
  <si>
    <t>Trong quá trình giám sát xử lý sự cố dịch vụ CNTT, Anh/Chị cần kiểm soát những yếu tố nào để đánh giá tính tuân thủ quy trình đã ban hành?</t>
  </si>
  <si>
    <t>Mức độ ảnh hưởng tới dịch vụ, tuân thủ bước xử lý theo quy trình, đối chiếu thời gian phản hồi, kết quả phối hợp các phòng ban</t>
  </si>
  <si>
    <t>Thời gian khôi phục dịch vụ, hành động khắc phục, log hệ thống, xác nhận của đơn vị vận hành</t>
  </si>
  <si>
    <t>Tình trạng hệ thống sau khắc phục, phân tích lỗi gốc, tài liệu hướng dẫn, đánh giá rủi ro còn lại</t>
  </si>
  <si>
    <t>Biên bản họp sự cố, đánh giá tác động, tổng thời gian dừng dịch vụ, báo cáo khắc phục sự cố</t>
  </si>
  <si>
    <t>Khi một chuyên viên "Giám sát nhiều mảng dịch vụ" và đã "Nắm vững từ 2 mảng quản lý chất lượng dịch vụ CNTT trở lên", làm thế nào họ có thể "Hiểu và áp dụng chắc các bước kiểm soát, đánh giá tính tuân thủ" một cách hiệu quả cho các mảng dịch vụ đó?</t>
  </si>
  <si>
    <t>Xây dựng một khung (framework) kiểm soát chung dựa trên các tiêu chuẩn ngành và thực tiễn tốt đã được công nhận, sau đó linh hoạt điều chỉnh và tùy biến cho phù hợp với đặc thù riêng của từng mảng dịch vụ.</t>
  </si>
  <si>
    <t>Sau khi triển khai hệ thống thanh toán mới cho các ngân hàng khách hàng, Anh/Chị nhận thấy có một số báo cáo phản ánh chất lượng dịch vụ không ổn định trong các giờ cao điểm. Những bước nào Anh/Chị sẽ thực hiện để đảm bảo chất lượng dịch vụ và khắc phục tình trạng này?
(1) Phân tích các báo cáo phản ánh vấn đề, rà soát quy trình và phối hợp với các phòng ban IT, bảo mật để xác định nguyên nhân và khắc phục sự cố.
(2) Đề xuất các thay đổi ngay lập tức đối với hệ thống mà không cần đánh giá đầy đủ tác động của các thay đổi đối với các dịch vụ khác.
(3) Tổ chức các buổi đánh giá chất lượng dịch vụ định kỳ, xác định các yếu tố ảnh hưởng đến chất lượng và đưa ra biện pháp cải tiến lâu dài.
(4) Chỉ thông báo cho các phòng ban liên quan về vấn đề và yêu cầu họ điều chỉnh hệ thống mà không giám sát quá trình thực hiện.</t>
  </si>
  <si>
    <t>Trong hoạt động giám sát vận hành dịch vụ CNTT, bước nào sau đây là không thể thiếu để đảm bảo tính tuân thủ với SLA (Service Level Agreement)?</t>
  </si>
  <si>
    <t>Theo dõi, ghi nhận và so sánh các chỉ số đo lường dịch vụ với cam kết SLA</t>
  </si>
  <si>
    <t>Phân tích mức độ hài lòng của người dùng cuối</t>
  </si>
  <si>
    <t>Cập nhật sơ đồ mạng định kỳ</t>
  </si>
  <si>
    <t>Quản lý yêu cầu hỗ trợ của nhân viên nội bộ</t>
  </si>
  <si>
    <t>Trong khi thực hiện bảo trì định kỳ hệ thống thanh toán điện tử của Napas, một số ngân hàng phản ánh rằng hệ thống có một số lỗi bất thường trong quá trình vận hành vào buổi tối sau khi bảo trì. Sau khi kiểm tra, Anh/Chị phát hiện rằng quy trình bảo trì không được tuân thủ nghiêm ngặt về thời gian và các bước kiểm tra. Dựa trên tình huống này, Anh/Chị sẽ thực hiện những bước nào để cải thiện quy trình bảo trì và đảm bảo chất lượng dịch vụ?</t>
  </si>
  <si>
    <t>Tổ chức lại các buổi đào tạo cho các nhân viên bảo trì và kiểm tra kỹ lưỡng mọi quy trình trước khi triển khai bảo trì. Cập nhật quy trình kiểm tra sau bảo trì để tránh tình trạng hệ thống gặp sự cố sau khi bảo trì.</t>
  </si>
  <si>
    <t>Đề xuất tăng cường thời gian bảo trì và yêu cầu các phòng ban liên quan thực hiện nghiêm túc quy trình bảo trì mà không cần đánh giá lại các bước kiểm tra hiện tại.</t>
  </si>
  <si>
    <t>Tăng cường sự giám sát trong suốt quá trình bảo trì và yêu cầu các phòng ban báo cáo chi tiết quá trình kiểm tra và bảo trì hàng ngày.</t>
  </si>
  <si>
    <t>Cập nhật quy trình bảo trì và yêu cầu tất cả các nhân viên liên quan phải tuân thủ chặt chẽ quy trình, không thay đổi quy trình kiểm tra sau bảo trì hiện tại.</t>
  </si>
  <si>
    <t>Việc một chuyên viên "Có thể tư vấn cách thức đánh giá tính tuân thủ cho các phòng liên quan" trong quá trình giám sát nhiều mảng dịch vụ thể hiện rõ nhất năng lực nào của họ?</t>
  </si>
  <si>
    <t>Khả năng chia sẻ kiến thức chuyên môn, kinh nghiệm thực tiễn và hướng dẫn các phòng ban khác triển khai việc đánh giá tính tuân thủ một cách bài bản, hiệu quả và nhất quán trên diện rộng.</t>
  </si>
  <si>
    <t>Bạn đề xuất cải tiến quy trình đánh giá tuân thủ dịch vụ CNTT bằng cách kết hợp công cụ tự động với đánh giá thủ công. Điều nào sau đây là mục tiêu chính cần đảm bảo khi thực hiện thay đổi này?</t>
  </si>
  <si>
    <t>Đảm bảo độ tin cậy, tính khách quan và khả năng phát hiện vi phạm không thể hiện trong hồ sơ hệ thống</t>
  </si>
  <si>
    <t>Giảm số lượng nhân sự tham gia kiểm tra</t>
  </si>
  <si>
    <t>Rút ngắn thời gian báo cáo cuối kỳ</t>
  </si>
  <si>
    <t>Giảm số lượng chỉ số cần theo dõi</t>
  </si>
  <si>
    <t>Để có thể "Tham mưu cho các cấp quản lý Phòng/Khối về cải tiến quy trình/phương pháp đánh giá, kiểm tra tính tuân thủ" một cách hiệu quả, chuyên gia cần xây dựng các đề xuất của mình dựa trên cơ sở nào là chủ yếu?</t>
  </si>
  <si>
    <t>Kết quả phân tích khách quan từ các hoạt động đánh giá, kiểm tra thực tế đã thực hiện, kết hợp với việc tham chiếu các tiêu chuẩn quốc tế, quy định của ngành và các thực tiễn tốt nhất (best practices) đã được công nhận.</t>
  </si>
  <si>
    <t>Gần đây, trong một đợt thay đổi cấu hình bảo mật (Security Policy) trên hệ thống Gateway xử lý giao dịch giữa Napas và các ngân hàng, đã xảy ra sự cố khiến 5 ngân hàng bị gián đoạn giao dịch trong vòng 10 phút. Sau khi điều tra, Anh/Chị được yêu cầu tham mưu cải tiến quy trình quản lý thay đổi (Change Management) để tránh lặp lại tình huống tương tự. Các thông tin liên quan:
- Việc thay đổi cấu hình được thực hiện theo kế hoạch nhưng không có đánh giá tác động chi tiết từng ngân hàng.
- Bản mô tả thay đổi chỉ đề cập các nhóm cấu hình chung, không ghi rõ các cấu hình riêng của từng cụm kết nối ngân hàng.
- Trong quá trình triển khai thay đổi, không có kênh cảnh báo trực tiếp giữa đội kỹ thuật thực hiện và cán bộ hỗ trợ trực hệ thống các ngân hàng.
- Chưa có bước đánh giá rủi ro định lượng (theo xác suất và ảnh hưởng) trong biểu mẫu phê duyệt thay đổi.
Theo Anh/Chị, giải pháp nào phù hợp nhất để cải tiến quy trình?</t>
  </si>
  <si>
    <t>Bổ sung bước đánh giá rủi ro định lượng vào biểu mẫu phê duyệt thay đổi và cập nhật tài liệu mô tả chi tiết từng nhóm cấu hình theo cụm ngân hàng.</t>
  </si>
  <si>
    <t>Rút ngắn thời gian kiểm thử thay đổi, tăng số lượng đội kỹ thuật để giảm khả năng xảy ra lỗi do thiếu nhân lực.</t>
  </si>
  <si>
    <t>Yêu cầu các ngân hàng kiểm tra lại kết nối trước mọi thay đổi để đảm bảo không gián đoạn do phía đối tác.</t>
  </si>
  <si>
    <t>Tạm ngừng triển khai thay đổi cấu hình trong giờ cao điểm và chuyển toàn bộ thay đổi sang khung giờ ban đêm.</t>
  </si>
  <si>
    <t>Khi tư vấn cấp quản lý Phòng/Khối về việc nâng cao chất lượng đánh giá tuân thủ dịch vụ CNTT, đâu là cách tiếp cận hiệu quả nhất?
A. Gửi báo cáo định kỳ nêu lỗi vi phạm
B. Tổ chức đào tạo toàn thể về quy trình đánh giá
C. Xây dựng dashboard đánh giá theo thời gian 
D. Gửi kèm phân tích nguyên nhân gốc rễ
E. Chỉ đề xuất thay đổi khi có yêu cầu từ ban giám đốc</t>
  </si>
  <si>
    <t>C,D</t>
  </si>
  <si>
    <t>Một chuyên gia được giao nhiệm vụ "Cải tiến quy trình, phương pháp đánh giá" trong quản lý dịch vụ CNTT. Hành động nào sau đây KHÔNG phản ánh đúng vai trò và trách nhiệm này?</t>
  </si>
  <si>
    <t>Chỉ tập trung vào việc duy trì các quy trình đánh giá hiện có và đảm bảo chúng được thực hiện đúng như cũ.</t>
  </si>
  <si>
    <t>Tháng 3 vừa qua, hệ thống chuyển mạch thế hệ mới (Switch Core vxx) chính thức được đưa vào vận hành tại Napas nhằm thay thế hệ thống cũ. Hệ thống mới có nhiều tính năng nâng cao như phân luồng giao dịch theo loại hình dịch vụ (NAPAS247, ATM, POS), đồng bộ hóa dữ liệu thời gian thực với hệ thống giám sát (Monitoring) và hỗ trợ log phân tích theo phiên làm việc.
Tuy nhiên, trong đợt rà soát đầu tiên sau triển khai, nhóm giám sát tuân thủ do Anh/Chị phụ trách phát hiện một số vấn đề:
- Báo cáo KPI vẫn chia theo kênh truyền (TCP/IP, MQ, HTTP) thay vì theo loại hình dịch vụ.
- Dữ liệu ghi nhận từ Monitoring không đồng bộ với thời gian log phát sinh trong một số phiên cao điểm, gây sai số trong đánh giá thời gian phản hồi giao dịch.
- Checklist đánh giá vẫn sử dụng quy trình đánh giá cũ, không có tiêu chí kiểm soát khả năng tự khôi phục dịch vụ (auto recovery) – tính năng được tích hợp trong hệ thống mới.
- ột số báo cáo định kỳ vẫn lấy dữ liệu từ hệ thống cũ do chưa cập nhật API truy xuất dữ liệu mới.
Anh/Chị được giao nhiệm vụ xây dựng phương án cải tiến quy trình giám sát tuân thủ phù hợp với hệ thống mới và trình Lãnh đạo Khối phê duyệt. Anh/Chị sẽ làm gì?</t>
  </si>
  <si>
    <t>(1) Rà soát toàn bộ KPI theo hướng nhóm dịch vụ thay vì kênh truyền, cập nhật checklist đánh giá có thêm tiêu chí giám sát khả năng tự phục hồi, tích hợp cảnh báo từ Monitoring vào hệ thống đánh giá.
(2) Chuẩn hóa lịch trích xuất dữ liệu từ hệ thống Monitoring để tránh lệch giờ log, cập nhật quy trình kết nối API lấy dữ liệu từ hệ thống mới vào báo cáo định kỳ.
(3) Bổ sung kiểm tra log theo phiên làm việc, kiểm thử chéo giữa dữ liệu giám sát và dữ liệu vận hành để phát hiện sai số, phân quyền truy cập API để các nhóm chuyên trách có thể truy xuất theo thời gian thực.</t>
  </si>
  <si>
    <t>(1) Rà soát toàn bộ KPI theo hướng nhóm dịch vụ thay vì kênh truyền, cập nhật checklist đánh giá có thêm tiêu chí giám sát khả năng tự phục hồi, tích hợp cảnh báo từ Monitoring vào hệ thống đánh giá.
(2) Chuẩn hóa lịch trích xuất dữ liệu từ hệ thống Monitoring để tránh lệch giờ log, cập nhật quy trình kết nối API lấy dữ liệu từ hệ thống mới vào báo cáo định kỳ.
(3) Duy trì cấu trúc KPI theo kênh truyền để đảm bảo so sánh trước và sau triển khai, chỉ cập nhật cảnh báo hệ thống và thêm tiêu chí auto recovery nếu có lỗi phát sinh trong 2 đợt kiểm tra gần nhất.</t>
  </si>
  <si>
    <t>(1) Bổ sung kiểm tra log theo phiên làm việc, kiểm thử chéo giữa dữ liệu giám sát và dữ liệu vận hành để phát hiện sai số, phân quyền truy cập API để các nhóm chuyên trách có thể truy xuất theo thời gian thực.
(2) Chuẩn hóa lịch trích xuất dữ liệu từ hệ thống Monitoring để tránh lệch giờ log, cập nhật quy trình kết nối API lấy dữ liệu từ hệ thống mới vào báo cáo định kỳ.
(3) Duy trì cấu trúc KPI theo kênh truyền để đảm bảo so sánh trước và sau triển khai, chỉ cập nhật cảnh báo hệ thống và thêm tiêu chí auto recovery nếu có lỗi phát sinh trong 2 đợt kiểm tra gần nhất.</t>
  </si>
  <si>
    <t>(1) Rà soát toàn bộ KPI theo hướng nhóm dịch vụ thay vì kênh truyền, cập nhật checklist đánh giá có thêm tiêu chí giám sát khả năng tự phục hồi, tích hợp cảnh báo từ Monitoring vào hệ thống đánh giá.
(2) Bổ sung kiểm tra log theo phiên làm việc, kiểm thử chéo giữa dữ liệu giám sát và dữ liệu vận hành để phát hiện sai số, phân quyền truy cập API để các nhóm chuyên trách có thể truy xuất theo thời gian thực.
(3) Duy trì cấu trúc KPI theo kênh truyền để đảm bảo so sánh trước và sau triển khai, chỉ cập nhật cảnh báo hệ thống và thêm tiêu chí auto recovery nếu có lỗi phát sinh trong 2 đợt kiểm tra gần nhất.</t>
  </si>
  <si>
    <t>Trong quý II, Anh/Chị được giao rà soát và đánh giá tính tuân thủ đối với quy trình theo dõi SLA (Service Level Agreement) của dịch vụ Chuyển tiền liên ngân hàng 24/7. Trong quá trình thực hiện, Anh/Chị nhận thấy một số điểm bất thường:
- Báo cáo SLA tháng 4 thể hiện tỷ lệ thành công đạt 99.5%, nhưng dữ liệu log thực tế từ hệ thống xử lý cho thấy một số phiên có giao dịch treo hơn 60 giây chiếm khoảng 0.7%.
- Đơn vị vận hành báo cáo sử dụng tập dữ liệu được trích xuất từ hệ thống DataMart, trong khi hệ thống Monitoring real-time đang được nâng cấp nên chưa được tích hợp trong báo cáo.
- Một số tiêu chí SLA (thời gian phản hồi giao dịch, thời gian xử lý retry, trạng thái cuối giao dịch) được tính toán bằng công thức nội bộ chưa được cập nhật trong tài liệu quy trình.
- Các đơn vị phải đảm bảo việc kiểm tra chéo dữ liệu giữa Monitoring và DataMart trước khi tổng hợp báo cáo SLA định kỳ.
Anh/Chị sẽ lựa chọn hướng xử lý nào để đảm bảo báo cáo phản ánh đúng thực trạng và quy trình được cập nhật đầy đủ?</t>
  </si>
  <si>
    <t>Tiến hành đối soát dữ liệu giữa Monitoring và DataMart, đề xuất bổ sung quy định kiểm tra chéo dữ liệu và cập nhật công thức SLA trong tài liệu quy trình.</t>
  </si>
  <si>
    <t>Kiểm tra lại toàn bộ dữ liệu log và gửi báo cáo riêng về tỷ lệ sai lệch, giữ nguyên quy trình hiện hành để không ảnh hưởng đến lịch báo cáo.</t>
  </si>
  <si>
    <t>Yêu cầu điều chỉnh lại tiêu chí SLA cho phù hợp với thực tế, đồng thời đề xuất loại bỏ dữ liệu bất thường để giữ SLA ổn định.</t>
  </si>
  <si>
    <t>Tạm dừng việc sử dụng báo cáo SLA cho đến khi hệ thống Monitoring hoàn thiện, cập nhật lại toàn bộ quy trình từ đầu.</t>
  </si>
  <si>
    <t>Số hóa quy trình: Số hóa, tự động hóa hoạt động/quy trình về dịch vụ CNTT</t>
  </si>
  <si>
    <t>Anh/Chị được giao hỗ trợ thiết lập hệ thống tự động thông báo cảnh báo dịch vụ. Đâu là nhóm hệ thống phù hợp nhất với yêu cầu này?</t>
  </si>
  <si>
    <t>Hệ thống giám sát tập trung (NMS), công cụ quản trị cảnh báo và giao diện điều phối vận hành.</t>
  </si>
  <si>
    <t>Phần mềm quản lý hồ sơ nhân sự, hệ thống kế toán nội bộ và cổng thông tin nhân viên.</t>
  </si>
  <si>
    <t>Hệ thống quản lý hợp đồng nhà cung cấp, phần mềm văn phòng số và công cụ xử lý văn bản.</t>
  </si>
  <si>
    <t>Hệ thống bảo mật phân quyền, phần mềm rà quét mã độc và giải pháp sao lưu định kỳ.</t>
  </si>
  <si>
    <t>Anh/Chị được phân công hỗ trợ điều chỉnh tham số cảnh báo ngưỡng CPU hệ thống từ 85% xuống 80%. Đâu là cách xử lý đúng nhất để đảm bảo an toàn và hiệu quả?</t>
  </si>
  <si>
    <t>Tra cứu cấu hình hiện tại, xác minh tác động với nhóm vận hành, rồi thực hiện điều chỉnh có kiểm soát.</t>
  </si>
  <si>
    <t>Gửi yêu cầu thay đổi tới đơn vị quản trị mạng, đồng thời khởi tạo một lịch vận hành kiểm tra lại sau 24h.</t>
  </si>
  <si>
    <t>Đề xuất nâng cấp toàn bộ phần mềm giám sát để đảm bảo cấu hình đồng nhất và dễ quản lý.</t>
  </si>
  <si>
    <t>Thực hiện điều chỉnh trực tiếp và theo dõi dashboard để ghi nhận mọi cảnh báo bất thường.</t>
  </si>
  <si>
    <t>Để "có khả năng hỗ trợ đơn giản [...] về số hóa/tự động hóa" cho một quy trình dịch vụ CNTT, điều nào sau đây KHÔNG phải là một yêu cầu kiến thức hay kỹ năng cần thiết đối với nhân viên?</t>
  </si>
  <si>
    <t>Nắm vững toàn bộ các ngôn ngữ lập trình và các công nghệ nền tảng được sử dụng để xây dựng hệ thống tự động hóa đó.</t>
  </si>
  <si>
    <t>Khi bắt đầu số hóa quy trình, tổ chức cần làm gì trước:
A. Lựa chọn công cụ để số hóa
B. Đánh giá quy trình hiện tại
C. Thực hiện số hóa quy trình
D. Lập kế hoạch chi tiết</t>
  </si>
  <si>
    <t>Đánh giá quy trình hiện tại</t>
  </si>
  <si>
    <t>Lựa chọn công cụ để số hóa</t>
  </si>
  <si>
    <t>Thực hiện số hóa quy trình</t>
  </si>
  <si>
    <t>Lập kế hoạch chi tiết</t>
  </si>
  <si>
    <t xml:space="preserve">Khi người dùng có mong muốn mở quyền truy cập vào hệ thống A, người dùng cần thực hiện các thao tác nào sau đây:
A. Gửi yêu cầu hỗ trợ đến portal Account Management trên Jira
B. Gửi yêu cầu hỗ trợ đến portal IT Support trên Jira
C. Gửi email yêu cầu hỗ trợ đến nhóm quản lý hệ thống A để tự động tạo task hỗ trợ tương ứng trên Jira </t>
  </si>
  <si>
    <t>Gửi yêu cầu hỗ trợ đến portal Account Management trên Jira</t>
  </si>
  <si>
    <t>Gửi yêu cầu hỗ trợ đến portal IT Support trên Jira</t>
  </si>
  <si>
    <t xml:space="preserve">Gửi email yêu cầu hỗ trợ đến nhóm quản lý hệ thống A để tự động tạo task hỗ trợ tương ứng trên Jira </t>
  </si>
  <si>
    <t>Một nhân viên muốn "hỗ trợ đơn giản (ví dụ điều chỉnh tham số phù hợp với dịch vụ đã có)" trong việc số hóa/tự động hóa quy trình. Họ cần hiểu rõ điều gì về "nhóm hệ thống phục vụ số hóa/tự động hóa"?</t>
  </si>
  <si>
    <t>Cách các tham số đầu vào của hệ thống ảnh hưởng đến kết quả đầu ra hoặc hành vi của quy trình được tự động hóa.</t>
  </si>
  <si>
    <t>Để "Thực hiện các yêu cầu số hóa đơn giản" và "Nắm rõ cách thực hiện số hóa/tự động hóa của một hệ thống phục vụ công việc" (ví dụ Jira, Confluence), chuyên viên cần tập trung vào việc thành thạo kỹ năng nào?</t>
  </si>
  <si>
    <t>Khả năng thao tác trực tiếp và hiệu quả trên giao diện người dùng của hệ thống đó để cấu hình các luồng công việc, biểu mẫu hoặc các tác vụ tự động hóa cơ bản theo yêu cầu.</t>
  </si>
  <si>
    <t>Để số hóa quy trình đăng ký/ duyệt làm thêm giờ OT trong tổ chức, giải pháp khả thi nhất là:</t>
  </si>
  <si>
    <t>Tạo form online kết hợp với hệ thống phê duyệt trên Digital Workplace</t>
  </si>
  <si>
    <t>Dùng file Excel lưu trữ, chia sẻ qua email</t>
  </si>
  <si>
    <t>Gọi điện nhắc nhở bộ phận phụ trách</t>
  </si>
  <si>
    <t>Sử dụng USB để trao đổi dữ liệu</t>
  </si>
  <si>
    <t>Khi một chuyên viên "Có khả năng tiếp nhận yêu cầu về số hóa/tự động hóa và hoàn thành yêu cầu với sự giám sát/hỗ trợ từ quản lý trực tiếp", yếu tố nào sau đây đóng vai trò then chốt giúp họ hoàn thành tốt nhiệm vụ được giao?</t>
  </si>
  <si>
    <t>Khả năng lắng nghe cẩn thận, hiểu rõ các yêu cầu đặt ra và chủ động trao đổi, xin ý kiến chỉ đạo từ quản lý khi gặp vướng mắc hoặc cần hướng dẫn cụ thể.</t>
  </si>
  <si>
    <t>Trong quá trình số hóa quy trình quản lý đơn hàng, bộ phận Kinh doanh yêu cầu thay đổi đột xuất về cách thức xử lý đơn hàng theo thời gian thực. Anh/Chị sẽ làm gì để triển khai yêu cầu này?
(1) Liên hệ ngay với phòng Kinh doanh để xác nhận yêu cầu chi tiết và các thay đổi cần thực hiện.
(2) Tiến hành lập kế hoạch chi tiết và triển khai ngay việc thay đổi quy trình.
(3)Thực hiện khảo sát quy trình hiện tại, đánh giá tác động của việc thay đổi đối với hệ thống hiện tại.
(4) Xem xét các công cụ và phần mềm phù hợp để áp dụng thay đổi.</t>
  </si>
  <si>
    <t>Trong quá trình số hóa quy trình quản lý văn bản, bộ phận Văn phòng yêu cầu thay đổi đột xuất về cách thức xử lý văn bản đến. Anh/Chị sẽ làm gì để triển khai yêu cầu này?
A. Liên hệ ngay với Văn phòng để xác nhận yêu cầu chi tiết và các thay đổi cần thực hiện.
B. Tiến hành lập kế hoạch chi tiết và triển khai ngay việc thay đổi quy trình.
C. Thực hiện khảo sát quy trình hiện tại, đánh giá tác động của việc thay đổi đối với hệ thống hiện tại.
D, Xem xét các công cụ và phần mềm phù hợp để áp dụng thay đổi.</t>
  </si>
  <si>
    <t>Thực hiện khảo sát quy trình hiện tại, đánh giá tác động của việc thay đổi đối với hệ thống hiện tại.</t>
  </si>
  <si>
    <t>Trong quá trình số hóa quy trình xử lý giao dịch ngân hàng trực tuyến, làm thế nào để đảm bảo tính bảo mật của dữ liệu khách hàng?
(1) Xây dựng quy trình bảo mật dữ liệu, mã hóa toàn bộ thông tin và thiết lập quyền truy cập hợp lý cho người dùng.
(2) Đảm bảo hệ thống được kiểm tra bảo mật định kỳ và cập nhật các bản vá bảo mật kịp thời.
(3) Đảm bảo chỉ cho phép truy cập dữ liệu từ các thiết bị an toàn và hệ thống có các lớp bảo mật bảo vệ.
(4) Cung cấp quyền truy cập không giới hạn cho tất cả các nhân viên để tăng cường tính linh hoạt trong công việc.</t>
  </si>
  <si>
    <t>Anh/Chị là một thành viên trong nhóm dự án số hóa quy trình giám sát hiệu suất và chất lượng dịch vụ CNTT tại Napas. Hiện tại, các báo cáo về hiệu suất hệ thống và chất lượng dịch vụ đều được lập thủ công, và việc giám sát, thu thập dữ liệu không được đồng bộ hóa giữa các bộ phận. Điều này khiến quá trình theo dõi và đánh giá chất lượng dịch vụ chậm trễ và thiếu chính xác. Các bộ phận cũng gặp khó khăn trong việc phối hợp và theo dõi các sự cố đang xảy ra trên các hệ thống khác nhau.
Để cải thiện quy trình giám sát hiệu suất và chất lượng dịch vụ CNTT, Anh/Chị sẽ làm gì?</t>
  </si>
  <si>
    <t>Đề xuất triển khai hệ thống tự động hóa thu thập và giám sát hiệu suất hệ thống, bao gồm giám sát các chỉ số về bảo mật, hiệu suất, khả năng phục hồi và báo cáo tự động cho các bộ phận liên quan.</t>
  </si>
  <si>
    <t>Đề xuất chỉ tự động hóa báo cáo về hiệu suất hệ thống và bảo mật, nhưng không cần tích hợp dữ liệu giữa các bộ phận khác nhau, vì báo cáo hiệu suất là yếu tố quan trọng nhất.</t>
  </si>
  <si>
    <t>Đề xuất duy trì quy trình giám sát thủ công nhưng cải tiến báo cáo tự động về chỉ số hiệu suất và bảo mật hệ thống để có cái nhìn rõ ràng hơn về chất lượng dịch vụ.</t>
  </si>
  <si>
    <t>Đề xuất chỉ sử dụng các công cụ giám sát hiệu suất hệ thống mà không cần tự động hóa báo cáo về bảo mật và khả năng phục hồi của hệ thống.</t>
  </si>
  <si>
    <t>Bạn đang thiết kế quy trình tự động phê duyệt tài liệu. Mỗi tài liệu cần được tạo từ mẫu, có bước soạn thảo, phê duyệt và công bố. Phương án nào là tốt nhất để đảm bảo kiểm soát và theo dõi?</t>
  </si>
  <si>
    <t>Sử dụng Digital workplace và tạo template để kiểm soát luồng phê duyệt và trạng thái</t>
  </si>
  <si>
    <t>Sử dụng template cơ bản và gắn thẻ trạng thái bằng tay</t>
  </si>
  <si>
    <t>Yêu cầu người soạn gửi email xin phê duyệt</t>
  </si>
  <si>
    <t>Tạo một page danh sách tài liệu và cập nhật thủ công trạng thái</t>
  </si>
  <si>
    <t>Khi một chuyên viên thể hiện khả năng "phân tích yêu cầu" trong việc số hóa một hệ thống mà không cần giám sát, họ thường làm gì để đảm bảo giải pháp đưa ra là tối ưu?</t>
  </si>
  <si>
    <t>Thảo luận kỹ với người dùng cuối để hiểu rõ vấn đề cốt lõi cần giải quyết và các mục tiêu mong đợi, từ đó đề xuất các tùy chọn tự động hóa phù hợp nhất với năng lực của hệ thống.</t>
  </si>
  <si>
    <t>Khi nhận yêu cầu tự động gửi thông báo qua mail mỗi khi một ticket trong Jira chuyển sang trạng thái "Waiting for Approver review", cách tiếp cận tốt nhất là:</t>
  </si>
  <si>
    <t>Cài đặt rule Automation trong Jira</t>
  </si>
  <si>
    <t>Viết shell script và chạy bằng tay</t>
  </si>
  <si>
    <t>Gửi email thủ công mỗi khi cập nhật trạng thái</t>
  </si>
  <si>
    <t>Tạo một page trong Confluence có chứa danh sách ticket</t>
  </si>
  <si>
    <t>Một dấu hiệu cho thấy chuyên viên đã "Nắm rõ cách thực hiện số hóa/tự động hóa từ một hệ thống phục vụ công việc trở lên" và có thể làm việc độc lập ở mức độ khá là gì?</t>
  </si>
  <si>
    <t>Khả năng tự mình xác định các bước công việc cần thiết, lựa chọn các công cụ hoặc tính năng phù hợp có sẵn trong hệ thống đó và giải quyết được các vấn đề kỹ thuật phát sinh ở mức độ trung bình để hoàn thành yêu cầu tự động hóa.</t>
  </si>
  <si>
    <t>Trong lĩnh vực "Số hóa quy trình", khi một chuyên viên đã "Nắm rõ cách thực hiện số hóa/tự động hóa từ một hệ thống phục vụ công việc trở lên" và cần "Có khả năng tiếp nhận yêu cầu, phân tích yêu cầu và hoàn thành yêu cầu về số hóa/tự động hóa mà không cần sự giám sát/hỗ trợ từ quản lý trực tiếp", họ cần thể hiện điều gì?</t>
  </si>
  <si>
    <t>Sự chủ động trong việc làm rõ các yêu cầu có tính phức tạp, khả năng phân tích các phương án kỹ thuật khả thi và tự mình quản lý công việc một cách hiệu quả để hoàn thành mục tiêu đề ra.</t>
  </si>
  <si>
    <t>Trong một dự án phát triển phần mềm tại Napas, Anh/Chị nhận thấy quy trình kiểm tra chất lượng phần mềm trước khi triển khai còn nhiều hạn chế. Việc kiểm tra mã nguồn, kiểm thử tự động và triển khai phần mềm vẫn được thực hiện thủ công, dẫn đến việc phát hiện lỗi chậm và các lỗi nhỏ dễ bị bỏ sót. Đồng thời, quy trình triển khai phần mềm cũng không được tự động hóa, gây tốn nhiều thời gian và nhân lực.
Để tối ưu hóa quy trình kiểm tra và triển khai phần mềm, Anh/Chị sẽ thực hiện những biện pháp nào?</t>
  </si>
  <si>
    <t>Đề xuất triển khai công cụ tự động hóa kiểm tra mã nguồn, kiểm thử tự động và triển khai phần mềm, đồng thời thiết lập quy trình kiểm tra liên tục (CI/CD) để giảm thiểu lỗi và tăng tốc độ triển khai.</t>
  </si>
  <si>
    <t>Tự động hóa quy trình kiểm tra mã nguồn và kiểm thử tự động, kết hợp với quy trình triển khai phần mềm được cải tiến để rút ngắn thời gian triển khai và giảm thiểu lỗi.</t>
  </si>
  <si>
    <t>Duy trì quy trình kiểm tra thủ công và triển khai phần mềm tự động, tối ưu hóa thời gian triển khai và giảm thiểu sự can thiệp của con người trong các bước cuối cùng.</t>
  </si>
  <si>
    <t>Tập trung vào việc tự động hóa quy trình kiểm tra hiệu suất phần mềm, kết hợp với cải tiến quy trình triển khai để đảm bảo chất lượng và tốc độ triển khai phần mềm.</t>
  </si>
  <si>
    <t>Trong quá trình kiểm tra tính tương thích của hệ thống thanh toán với các ngân hàng đối tác, Anh/Chị phát hiện rằng quy trình kiểm tra hiện tại chỉ tập trung vào tính năng cơ bản của hệ thống mà chưa kiểm tra hiệu năng và khả năng chịu tải của hệ thống khi có lưu lượng giao dịch lớn. Hệ thống cần được triển khai vào môi trường sản xuất có thể gặp phải sự cố nếu không có sự kiểm tra đầy đủ. Ngoài ra, một số yếu tố về bảo mật và bảo trì cũng chưa được đánh giá đầy đủ trong quy trình.
Anh/Chị sẽ làm gì để cải thiện quy trình kiểm tra tính tương thích và sẵn sàng cho môi trường sản xuất?</t>
  </si>
  <si>
    <t>Đánh giá lại quy trình kiểm tra, bổ sung các bước kiểm tra khả năng chịu tải, hiệu năng hệ thống và bảo mật, yêu cầu kiểm tra lại tất cả các yếu tố này trước khi triển khai.</t>
  </si>
  <si>
    <t>Tiến hành kiểm tra khả năng chịu tải và hiệu năng trong môi trường giả lập thay vì trong môi trường sản xuất, vì môi trường giả lập đã đủ để kiểm tra tính tương thích.</t>
  </si>
  <si>
    <t>Đề xuất thêm các bước kiểm tra bảo mật và yêu cầu kiểm tra lại tính năng cơ bản của hệ thống trong môi trường sản xuất nhưng không cần kiểm tra hiệu năng.</t>
  </si>
  <si>
    <t>Yêu cầu các phòng ban kiểm tra khả năng chịu tải và bảo mật nhưng không cần thay đổi quy trình kiểm tra hiện tại, vì quy trình đang vận hành ổn định.</t>
  </si>
  <si>
    <t>Để một người có thể "Nắm rõ cách thực hiện số hóa/tự động hóa của tối thiểu một hệ thống phục vụ công việc trở lên" và đồng thời "Chủ động tiếp nhận/phân công tiếp nhận cho các thành viên trong nhóm", kỹ năng quản lý nào là thiết yếu?</t>
  </si>
  <si>
    <t>Khả năng đánh giá đúng năng lực, kinh nghiệm và khối lượng công việc hiện tại của từng thành viên trong nhóm, từ đó giao phó các nhiệm vụ số hóa một cách phù hợp và tạo điều kiện để họ hoàn thành tốt công việc được giao.</t>
  </si>
  <si>
    <t>Khi chủ trì triển khai hệ thống quản lý công việc (Jira, Digital Workpalce, BMC..) yếu tố nào quan trọng nhất để đảm bảo sự chấp nhận và sử dụng hiệu quả từ các phòng ban liên quan?</t>
  </si>
  <si>
    <t>Có lộ trình đào tạo, truyền thông, thu thập phản hồi và cải tiến trong giai đoạn rollout</t>
  </si>
  <si>
    <t>Hệ thống có giao diện thân thiện và đẹp</t>
  </si>
  <si>
    <t>Có tài liệu hướng dẫn đầy đủ</t>
  </si>
  <si>
    <t>Tích hợp sẵn mẫu báo cáo cho quản lý</t>
  </si>
  <si>
    <t>Khi được giao "Chủ trì số hóa một hệ thống" và phải "Lập kế hoạch thực hiện số hóa/tự động hóa theo kế hoạch chung của Phòng/Khối", trách nhiệm then chốt của người chủ trì là gì?</t>
  </si>
  <si>
    <t>Xây dựng một lộ trình triển khai chi tiết, phân bổ hợp lý các nguồn lực (nhân sự, thời gian, công cụ), theo dõi sát sao tiến độ thực hiện và đảm bảo các mục tiêu số hóa của hệ thống được hoàn thành đúng kế hoạch và đạt chất lượng đề ra.</t>
  </si>
  <si>
    <t>Trong một dự án số hóa hệ thống kiểm soát tài khoản truy cập HTTT, bạn phát hiện mỗi đơn vị yêu cầu cách xử lý khác nhau. Bạn nên làm gì để đảm bảo hiệu quả triển khai?</t>
  </si>
  <si>
    <t>Tư vấn hợp nhất quy trình theo chuẩn chung, và dùng phân loại để xử lý ngoại lệ</t>
  </si>
  <si>
    <t>Thiết kế hệ thống linh hoạt tối đa, đáp ứng từng yêu cầu riêng</t>
  </si>
  <si>
    <t>Giao lại cho từng đơn vị xây phần riêng và tích hợp lại sau</t>
  </si>
  <si>
    <t>Dừng dự án và chờ chỉ đạo từ cấp trên</t>
  </si>
  <si>
    <t>P14 - ĐẢM BẢO CHẤT LƯỢNG DỊCH VỤ CNTT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</si>
</sst>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bgColor indexed="64"/>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31">
    <xf numFmtId="0" fontId="0" fillId="0" borderId="0" xfId="0"/>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8"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6" fillId="3" borderId="2" xfId="0" applyFont="1" applyFill="1" applyBorder="1" applyAlignment="1">
      <alignment vertical="center" wrapText="1"/>
    </xf>
    <xf numFmtId="0" fontId="7" fillId="0" borderId="0" xfId="0" applyFont="1" applyAlignment="1">
      <alignment vertical="center"/>
    </xf>
    <xf numFmtId="0" fontId="4" fillId="10" borderId="0" xfId="0" applyFont="1" applyFill="1" applyAlignment="1">
      <alignment horizontal="center" vertical="center"/>
    </xf>
    <xf numFmtId="0" fontId="4" fillId="10" borderId="0" xfId="0" applyFont="1" applyFill="1" applyAlignment="1">
      <alignment horizontal="center" vertical="center" wrapText="1"/>
    </xf>
    <xf numFmtId="0" fontId="4" fillId="10" borderId="0" xfId="0" applyFont="1" applyFill="1" applyAlignment="1">
      <alignment vertical="center" wrapText="1"/>
    </xf>
    <xf numFmtId="0" fontId="3" fillId="10" borderId="0" xfId="0" applyFont="1" applyFill="1" applyAlignment="1">
      <alignment vertical="center"/>
    </xf>
    <xf numFmtId="0" fontId="4" fillId="10" borderId="0" xfId="0" quotePrefix="1" applyFont="1" applyFill="1" applyAlignment="1">
      <alignment vertical="center" wrapText="1"/>
    </xf>
    <xf numFmtId="0" fontId="3" fillId="10" borderId="0" xfId="0" applyFont="1" applyFill="1" applyAlignment="1">
      <alignment horizontal="center" vertical="center"/>
    </xf>
    <xf numFmtId="0" fontId="6" fillId="6" borderId="3" xfId="0" applyFont="1" applyFill="1" applyBorder="1" applyAlignment="1">
      <alignment horizontal="center" vertical="center" wrapText="1"/>
    </xf>
    <xf numFmtId="0" fontId="7" fillId="0" borderId="3" xfId="0" quotePrefix="1"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4" fillId="5" borderId="3" xfId="0" applyFont="1" applyFill="1" applyBorder="1" applyAlignment="1">
      <alignment vertical="center" wrapText="1"/>
    </xf>
    <xf numFmtId="0" fontId="4" fillId="8" borderId="3" xfId="0" quotePrefix="1" applyFont="1" applyFill="1" applyBorder="1" applyAlignment="1">
      <alignment vertical="center" wrapText="1"/>
    </xf>
    <xf numFmtId="0" fontId="4" fillId="0" borderId="3" xfId="0" quotePrefix="1" applyFont="1" applyBorder="1" applyAlignment="1">
      <alignment vertical="center" wrapText="1"/>
    </xf>
    <xf numFmtId="0" fontId="4" fillId="8" borderId="3" xfId="0" applyFont="1" applyFill="1" applyBorder="1" applyAlignment="1">
      <alignment vertical="center" wrapText="1"/>
    </xf>
    <xf numFmtId="0" fontId="5" fillId="8" borderId="3" xfId="1" applyFont="1" applyFill="1" applyBorder="1" applyAlignment="1" applyProtection="1">
      <alignment horizontal="left" vertical="center" wrapText="1"/>
      <protection locked="0"/>
    </xf>
    <xf numFmtId="0" fontId="5" fillId="0" borderId="3" xfId="1" applyFont="1" applyBorder="1" applyAlignment="1" applyProtection="1">
      <alignment horizontal="left" vertical="center" wrapText="1"/>
      <protection locked="0"/>
    </xf>
    <xf numFmtId="0" fontId="6" fillId="4"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3" borderId="3" xfId="0" applyFont="1" applyFill="1" applyBorder="1" applyAlignment="1">
      <alignment horizontal="center" vertical="center"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A1:L95"/>
  <sheetViews>
    <sheetView showGridLines="0" tabSelected="1" topLeftCell="A27" zoomScale="85" zoomScaleNormal="85" workbookViewId="0">
      <selection activeCell="F29" sqref="F29"/>
    </sheetView>
  </sheetViews>
  <sheetFormatPr defaultColWidth="9" defaultRowHeight="14.25" outlineLevelRow="1" x14ac:dyDescent="0.25"/>
  <cols>
    <col min="1" max="1" width="2.85546875" style="14" customWidth="1"/>
    <col min="2" max="2" width="7.85546875" style="16" customWidth="1"/>
    <col min="3" max="3" width="9" style="16"/>
    <col min="4" max="4" width="25.42578125" style="14" customWidth="1"/>
    <col min="5" max="5" width="9" style="16"/>
    <col min="6" max="10" width="45.42578125" style="14" customWidth="1"/>
    <col min="11" max="11" width="9" style="14"/>
    <col min="12" max="12" width="12.7109375" style="14" customWidth="1"/>
    <col min="13" max="16384" width="9" style="14"/>
  </cols>
  <sheetData>
    <row r="1" spans="2:10" s="8" customFormat="1" x14ac:dyDescent="0.25">
      <c r="B1" s="7"/>
      <c r="C1" s="7"/>
      <c r="E1" s="7"/>
    </row>
    <row r="2" spans="2:10" s="8" customFormat="1" ht="26.45" customHeight="1" x14ac:dyDescent="0.25">
      <c r="B2" s="6" t="s">
        <v>271</v>
      </c>
      <c r="C2" s="7"/>
      <c r="E2" s="7"/>
    </row>
    <row r="3" spans="2:10" s="8" customFormat="1" ht="10.35" customHeight="1" x14ac:dyDescent="0.25">
      <c r="B3" s="6"/>
      <c r="C3" s="7"/>
      <c r="E3" s="7"/>
    </row>
    <row r="4" spans="2:10" s="8" customFormat="1" ht="31.7" customHeight="1" outlineLevel="1" x14ac:dyDescent="0.25">
      <c r="B4" s="6"/>
      <c r="C4" s="7"/>
      <c r="D4" s="9" t="s">
        <v>0</v>
      </c>
      <c r="E4" s="3" t="s">
        <v>1</v>
      </c>
      <c r="F4" s="4">
        <v>1</v>
      </c>
      <c r="G4" s="4">
        <v>2</v>
      </c>
      <c r="H4" s="4">
        <v>3</v>
      </c>
    </row>
    <row r="5" spans="2:10" s="8" customFormat="1" ht="20.100000000000001" customHeight="1" outlineLevel="1" x14ac:dyDescent="0.25">
      <c r="B5" s="6"/>
      <c r="C5" s="7"/>
      <c r="D5" s="3" t="s">
        <v>1</v>
      </c>
      <c r="E5" s="1">
        <f>SUM(E6:E9)</f>
        <v>71</v>
      </c>
      <c r="F5" s="2">
        <f>SUM(F6:F9)</f>
        <v>19</v>
      </c>
      <c r="G5" s="2">
        <f t="shared" ref="G5:H5" si="0">SUM(G6:G9)</f>
        <v>28</v>
      </c>
      <c r="H5" s="2">
        <f t="shared" si="0"/>
        <v>24</v>
      </c>
    </row>
    <row r="6" spans="2:10" s="8" customFormat="1" ht="20.100000000000001" customHeight="1" outlineLevel="1" x14ac:dyDescent="0.25">
      <c r="B6" s="6"/>
      <c r="C6" s="7"/>
      <c r="D6" s="4">
        <v>1</v>
      </c>
      <c r="E6" s="2">
        <f>SUM(F6:H6)</f>
        <v>17</v>
      </c>
      <c r="F6" s="5">
        <f t="shared" ref="F6:H9" si="1">COUNTIFS($E$13:$E$182,$D6,$C$13:$C$182,F$4)</f>
        <v>6</v>
      </c>
      <c r="G6" s="5">
        <f t="shared" si="1"/>
        <v>5</v>
      </c>
      <c r="H6" s="5">
        <f t="shared" si="1"/>
        <v>6</v>
      </c>
    </row>
    <row r="7" spans="2:10" s="8" customFormat="1" ht="20.100000000000001" customHeight="1" outlineLevel="1" x14ac:dyDescent="0.25">
      <c r="B7" s="6"/>
      <c r="C7" s="7"/>
      <c r="D7" s="4">
        <v>2</v>
      </c>
      <c r="E7" s="2">
        <f t="shared" ref="E7:E9" si="2">SUM(F7:H7)</f>
        <v>22</v>
      </c>
      <c r="F7" s="5">
        <f t="shared" si="1"/>
        <v>5</v>
      </c>
      <c r="G7" s="5">
        <f t="shared" si="1"/>
        <v>11</v>
      </c>
      <c r="H7" s="5">
        <f t="shared" si="1"/>
        <v>6</v>
      </c>
    </row>
    <row r="8" spans="2:10" s="8" customFormat="1" ht="20.100000000000001" customHeight="1" outlineLevel="1" x14ac:dyDescent="0.25">
      <c r="B8" s="6"/>
      <c r="C8" s="7"/>
      <c r="D8" s="4">
        <v>3</v>
      </c>
      <c r="E8" s="2">
        <f t="shared" si="2"/>
        <v>17</v>
      </c>
      <c r="F8" s="5">
        <f t="shared" si="1"/>
        <v>4</v>
      </c>
      <c r="G8" s="5">
        <f t="shared" si="1"/>
        <v>5</v>
      </c>
      <c r="H8" s="5">
        <f t="shared" si="1"/>
        <v>8</v>
      </c>
    </row>
    <row r="9" spans="2:10" s="8" customFormat="1" ht="20.100000000000001" customHeight="1" outlineLevel="1" x14ac:dyDescent="0.25">
      <c r="B9" s="6"/>
      <c r="C9" s="7"/>
      <c r="D9" s="4">
        <v>4</v>
      </c>
      <c r="E9" s="2">
        <f t="shared" si="2"/>
        <v>15</v>
      </c>
      <c r="F9" s="5">
        <f t="shared" si="1"/>
        <v>4</v>
      </c>
      <c r="G9" s="5">
        <f t="shared" si="1"/>
        <v>7</v>
      </c>
      <c r="H9" s="5">
        <f t="shared" si="1"/>
        <v>4</v>
      </c>
    </row>
    <row r="10" spans="2:10" s="8" customFormat="1" ht="6.75" customHeight="1" x14ac:dyDescent="0.25">
      <c r="B10" s="7"/>
      <c r="C10" s="7"/>
      <c r="E10" s="7"/>
    </row>
    <row r="11" spans="2:10" s="8" customFormat="1" ht="19.350000000000001" customHeight="1" x14ac:dyDescent="0.25">
      <c r="B11" s="30" t="s">
        <v>2</v>
      </c>
      <c r="C11" s="30" t="s">
        <v>3</v>
      </c>
      <c r="D11" s="30" t="s">
        <v>4</v>
      </c>
      <c r="E11" s="30" t="s">
        <v>5</v>
      </c>
      <c r="F11" s="28" t="s">
        <v>6</v>
      </c>
      <c r="G11" s="29" t="s">
        <v>7</v>
      </c>
      <c r="H11" s="29"/>
      <c r="I11" s="29"/>
      <c r="J11" s="29"/>
    </row>
    <row r="12" spans="2:10" s="8" customFormat="1" ht="19.350000000000001" customHeight="1" x14ac:dyDescent="0.25">
      <c r="B12" s="30"/>
      <c r="C12" s="30"/>
      <c r="D12" s="30"/>
      <c r="E12" s="30"/>
      <c r="F12" s="28"/>
      <c r="G12" s="17" t="s">
        <v>8</v>
      </c>
      <c r="H12" s="17" t="s">
        <v>9</v>
      </c>
      <c r="I12" s="17" t="s">
        <v>10</v>
      </c>
      <c r="J12" s="17" t="s">
        <v>11</v>
      </c>
    </row>
    <row r="13" spans="2:10" s="10" customFormat="1" ht="12" x14ac:dyDescent="0.25">
      <c r="B13" s="18" t="str">
        <f t="shared" ref="B13:J13" si="3">"("&amp;COLUMN()-COLUMN($A$13)&amp;")"</f>
        <v>(1)</v>
      </c>
      <c r="C13" s="18" t="str">
        <f t="shared" si="3"/>
        <v>(2)</v>
      </c>
      <c r="D13" s="18" t="str">
        <f t="shared" si="3"/>
        <v>(3)</v>
      </c>
      <c r="E13" s="18" t="str">
        <f t="shared" si="3"/>
        <v>(4)</v>
      </c>
      <c r="F13" s="18" t="str">
        <f t="shared" si="3"/>
        <v>(5)</v>
      </c>
      <c r="G13" s="18" t="str">
        <f t="shared" si="3"/>
        <v>(6)</v>
      </c>
      <c r="H13" s="18" t="str">
        <f t="shared" si="3"/>
        <v>(7)</v>
      </c>
      <c r="I13" s="18" t="str">
        <f t="shared" si="3"/>
        <v>(8)</v>
      </c>
      <c r="J13" s="18" t="str">
        <f t="shared" si="3"/>
        <v>(9)</v>
      </c>
    </row>
    <row r="14" spans="2:10" s="8" customFormat="1" ht="63.75" x14ac:dyDescent="0.25">
      <c r="B14" s="19">
        <f>ROW()-ROW($B$13)</f>
        <v>1</v>
      </c>
      <c r="C14" s="20">
        <v>1</v>
      </c>
      <c r="D14" s="21" t="s">
        <v>12</v>
      </c>
      <c r="E14" s="20">
        <v>1</v>
      </c>
      <c r="F14" s="22" t="s">
        <v>13</v>
      </c>
      <c r="G14" s="23" t="s">
        <v>14</v>
      </c>
      <c r="H14" s="24"/>
      <c r="I14" s="24"/>
      <c r="J14" s="24"/>
    </row>
    <row r="15" spans="2:10" s="8" customFormat="1" ht="63.75" x14ac:dyDescent="0.25">
      <c r="B15" s="19">
        <f t="shared" ref="B15:B29" si="4">ROW()-ROW($B$13)</f>
        <v>2</v>
      </c>
      <c r="C15" s="20">
        <v>1</v>
      </c>
      <c r="D15" s="21" t="s">
        <v>12</v>
      </c>
      <c r="E15" s="20">
        <v>1</v>
      </c>
      <c r="F15" s="22" t="s">
        <v>15</v>
      </c>
      <c r="G15" s="25" t="s">
        <v>16</v>
      </c>
      <c r="H15" s="21" t="s">
        <v>17</v>
      </c>
      <c r="I15" s="21" t="s">
        <v>18</v>
      </c>
      <c r="J15" s="21" t="s">
        <v>19</v>
      </c>
    </row>
    <row r="16" spans="2:10" s="8" customFormat="1" ht="63.75" x14ac:dyDescent="0.25">
      <c r="B16" s="19">
        <f t="shared" si="4"/>
        <v>3</v>
      </c>
      <c r="C16" s="20">
        <v>1</v>
      </c>
      <c r="D16" s="21" t="s">
        <v>12</v>
      </c>
      <c r="E16" s="20">
        <v>1</v>
      </c>
      <c r="F16" s="22" t="s">
        <v>20</v>
      </c>
      <c r="G16" s="25" t="s">
        <v>21</v>
      </c>
      <c r="H16" s="21"/>
      <c r="I16" s="21"/>
      <c r="J16" s="21"/>
    </row>
    <row r="17" spans="2:10" s="8" customFormat="1" ht="63.75" x14ac:dyDescent="0.25">
      <c r="B17" s="19">
        <f t="shared" si="4"/>
        <v>4</v>
      </c>
      <c r="C17" s="20">
        <v>1</v>
      </c>
      <c r="D17" s="21" t="s">
        <v>12</v>
      </c>
      <c r="E17" s="20">
        <v>1</v>
      </c>
      <c r="F17" s="22" t="s">
        <v>22</v>
      </c>
      <c r="G17" s="25" t="s">
        <v>23</v>
      </c>
      <c r="H17" s="21" t="s">
        <v>24</v>
      </c>
      <c r="I17" s="21" t="s">
        <v>25</v>
      </c>
      <c r="J17" s="21" t="s">
        <v>26</v>
      </c>
    </row>
    <row r="18" spans="2:10" s="8" customFormat="1" ht="63.75" x14ac:dyDescent="0.25">
      <c r="B18" s="19">
        <f t="shared" si="4"/>
        <v>5</v>
      </c>
      <c r="C18" s="20">
        <v>1</v>
      </c>
      <c r="D18" s="21" t="s">
        <v>12</v>
      </c>
      <c r="E18" s="20">
        <v>1</v>
      </c>
      <c r="F18" s="22" t="s">
        <v>27</v>
      </c>
      <c r="G18" s="25" t="s">
        <v>28</v>
      </c>
      <c r="H18" s="21" t="s">
        <v>29</v>
      </c>
      <c r="I18" s="21" t="s">
        <v>30</v>
      </c>
      <c r="J18" s="21" t="s">
        <v>31</v>
      </c>
    </row>
    <row r="19" spans="2:10" s="8" customFormat="1" ht="76.5" x14ac:dyDescent="0.25">
      <c r="B19" s="19">
        <f t="shared" si="4"/>
        <v>6</v>
      </c>
      <c r="C19" s="20">
        <v>1</v>
      </c>
      <c r="D19" s="21" t="s">
        <v>12</v>
      </c>
      <c r="E19" s="20">
        <v>1</v>
      </c>
      <c r="F19" s="22" t="s">
        <v>32</v>
      </c>
      <c r="G19" s="23" t="s">
        <v>33</v>
      </c>
      <c r="H19" s="24" t="s">
        <v>34</v>
      </c>
      <c r="I19" s="24" t="s">
        <v>35</v>
      </c>
      <c r="J19" s="24" t="s">
        <v>36</v>
      </c>
    </row>
    <row r="20" spans="2:10" s="8" customFormat="1" ht="63.75" x14ac:dyDescent="0.25">
      <c r="B20" s="19">
        <f t="shared" si="4"/>
        <v>7</v>
      </c>
      <c r="C20" s="20">
        <v>1</v>
      </c>
      <c r="D20" s="21" t="s">
        <v>12</v>
      </c>
      <c r="E20" s="20">
        <v>2</v>
      </c>
      <c r="F20" s="22" t="s">
        <v>37</v>
      </c>
      <c r="G20" s="25" t="s">
        <v>38</v>
      </c>
      <c r="H20" s="21" t="s">
        <v>39</v>
      </c>
      <c r="I20" s="21" t="s">
        <v>40</v>
      </c>
      <c r="J20" s="21" t="s">
        <v>41</v>
      </c>
    </row>
    <row r="21" spans="2:10" s="8" customFormat="1" ht="63.75" x14ac:dyDescent="0.25">
      <c r="B21" s="19">
        <f t="shared" si="4"/>
        <v>8</v>
      </c>
      <c r="C21" s="20">
        <v>1</v>
      </c>
      <c r="D21" s="21" t="s">
        <v>12</v>
      </c>
      <c r="E21" s="20">
        <v>2</v>
      </c>
      <c r="F21" s="22" t="s">
        <v>42</v>
      </c>
      <c r="G21" s="25" t="s">
        <v>43</v>
      </c>
      <c r="H21" s="21"/>
      <c r="I21" s="21"/>
      <c r="J21" s="21"/>
    </row>
    <row r="22" spans="2:10" s="8" customFormat="1" ht="63.75" x14ac:dyDescent="0.25">
      <c r="B22" s="19">
        <f t="shared" si="4"/>
        <v>9</v>
      </c>
      <c r="C22" s="20">
        <v>1</v>
      </c>
      <c r="D22" s="21" t="s">
        <v>12</v>
      </c>
      <c r="E22" s="20">
        <v>2</v>
      </c>
      <c r="F22" s="22" t="s">
        <v>44</v>
      </c>
      <c r="G22" s="23" t="s">
        <v>45</v>
      </c>
      <c r="H22" s="24" t="s">
        <v>46</v>
      </c>
      <c r="I22" s="24" t="s">
        <v>47</v>
      </c>
      <c r="J22" s="24"/>
    </row>
    <row r="23" spans="2:10" s="8" customFormat="1" ht="63.75" x14ac:dyDescent="0.25">
      <c r="B23" s="19">
        <f t="shared" si="4"/>
        <v>10</v>
      </c>
      <c r="C23" s="20">
        <v>1</v>
      </c>
      <c r="D23" s="21" t="s">
        <v>12</v>
      </c>
      <c r="E23" s="20">
        <v>2</v>
      </c>
      <c r="F23" s="22" t="s">
        <v>48</v>
      </c>
      <c r="G23" s="25" t="s">
        <v>49</v>
      </c>
      <c r="H23" s="21" t="s">
        <v>50</v>
      </c>
      <c r="I23" s="21" t="s">
        <v>51</v>
      </c>
      <c r="J23" s="21" t="s">
        <v>52</v>
      </c>
    </row>
    <row r="24" spans="2:10" s="8" customFormat="1" ht="63.75" x14ac:dyDescent="0.25">
      <c r="B24" s="19">
        <f t="shared" si="4"/>
        <v>11</v>
      </c>
      <c r="C24" s="20">
        <v>1</v>
      </c>
      <c r="D24" s="21" t="s">
        <v>12</v>
      </c>
      <c r="E24" s="20">
        <v>2</v>
      </c>
      <c r="F24" s="22" t="s">
        <v>53</v>
      </c>
      <c r="G24" s="25" t="s">
        <v>54</v>
      </c>
      <c r="H24" s="21"/>
      <c r="I24" s="21"/>
      <c r="J24" s="21"/>
    </row>
    <row r="25" spans="2:10" s="8" customFormat="1" ht="63.75" x14ac:dyDescent="0.25">
      <c r="B25" s="19">
        <f t="shared" si="4"/>
        <v>12</v>
      </c>
      <c r="C25" s="20">
        <v>1</v>
      </c>
      <c r="D25" s="21" t="s">
        <v>12</v>
      </c>
      <c r="E25" s="20">
        <v>3</v>
      </c>
      <c r="F25" s="22" t="s">
        <v>55</v>
      </c>
      <c r="G25" s="25" t="s">
        <v>56</v>
      </c>
      <c r="H25" s="21" t="s">
        <v>57</v>
      </c>
      <c r="I25" s="21" t="s">
        <v>58</v>
      </c>
      <c r="J25" s="21" t="s">
        <v>59</v>
      </c>
    </row>
    <row r="26" spans="2:10" s="8" customFormat="1" ht="63.75" x14ac:dyDescent="0.25">
      <c r="B26" s="19">
        <f t="shared" si="4"/>
        <v>13</v>
      </c>
      <c r="C26" s="20">
        <v>1</v>
      </c>
      <c r="D26" s="21" t="s">
        <v>12</v>
      </c>
      <c r="E26" s="20">
        <v>3</v>
      </c>
      <c r="F26" s="22" t="s">
        <v>60</v>
      </c>
      <c r="G26" s="25" t="s">
        <v>61</v>
      </c>
      <c r="H26" s="21"/>
      <c r="I26" s="21"/>
      <c r="J26" s="21"/>
    </row>
    <row r="27" spans="2:10" s="8" customFormat="1" ht="267.75" x14ac:dyDescent="0.25">
      <c r="B27" s="19">
        <f t="shared" si="4"/>
        <v>14</v>
      </c>
      <c r="C27" s="20">
        <v>1</v>
      </c>
      <c r="D27" s="21" t="s">
        <v>12</v>
      </c>
      <c r="E27" s="20">
        <v>3</v>
      </c>
      <c r="F27" s="22" t="s">
        <v>66</v>
      </c>
      <c r="G27" s="25" t="s">
        <v>63</v>
      </c>
      <c r="H27" s="21" t="s">
        <v>62</v>
      </c>
      <c r="I27" s="21" t="s">
        <v>64</v>
      </c>
      <c r="J27" s="21" t="s">
        <v>65</v>
      </c>
    </row>
    <row r="28" spans="2:10" s="8" customFormat="1" ht="63.75" x14ac:dyDescent="0.25">
      <c r="B28" s="19">
        <f t="shared" si="4"/>
        <v>15</v>
      </c>
      <c r="C28" s="20">
        <v>1</v>
      </c>
      <c r="D28" s="21" t="s">
        <v>12</v>
      </c>
      <c r="E28" s="20">
        <v>3</v>
      </c>
      <c r="F28" s="22" t="s">
        <v>67</v>
      </c>
      <c r="G28" s="26" t="s">
        <v>68</v>
      </c>
      <c r="H28" s="27"/>
      <c r="I28" s="27"/>
      <c r="J28" s="27"/>
    </row>
    <row r="29" spans="2:10" s="8" customFormat="1" ht="165.75" x14ac:dyDescent="0.25">
      <c r="B29" s="19">
        <f t="shared" si="4"/>
        <v>16</v>
      </c>
      <c r="C29" s="20">
        <v>1</v>
      </c>
      <c r="D29" s="21" t="s">
        <v>12</v>
      </c>
      <c r="E29" s="20">
        <v>4</v>
      </c>
      <c r="F29" s="22" t="s">
        <v>69</v>
      </c>
      <c r="G29" s="26" t="s">
        <v>70</v>
      </c>
      <c r="H29" s="27" t="s">
        <v>71</v>
      </c>
      <c r="I29" s="27" t="s">
        <v>72</v>
      </c>
      <c r="J29" s="27" t="s">
        <v>73</v>
      </c>
    </row>
    <row r="30" spans="2:10" s="8" customFormat="1" ht="63.75" x14ac:dyDescent="0.25">
      <c r="B30" s="19">
        <f>ROW()-ROW($B$13)</f>
        <v>17</v>
      </c>
      <c r="C30" s="20">
        <v>1</v>
      </c>
      <c r="D30" s="21" t="s">
        <v>12</v>
      </c>
      <c r="E30" s="20">
        <v>4</v>
      </c>
      <c r="F30" s="22" t="s">
        <v>74</v>
      </c>
      <c r="G30" s="25" t="s">
        <v>75</v>
      </c>
      <c r="H30" s="21" t="s">
        <v>76</v>
      </c>
      <c r="I30" s="21" t="s">
        <v>77</v>
      </c>
      <c r="J30" s="21" t="s">
        <v>78</v>
      </c>
    </row>
    <row r="31" spans="2:10" s="8" customFormat="1" ht="63.75" x14ac:dyDescent="0.25">
      <c r="B31" s="19">
        <f t="shared" ref="B31:B84" si="5">ROW()-ROW($B$13)</f>
        <v>18</v>
      </c>
      <c r="C31" s="20">
        <v>1</v>
      </c>
      <c r="D31" s="21" t="s">
        <v>12</v>
      </c>
      <c r="E31" s="20">
        <v>4</v>
      </c>
      <c r="F31" s="22" t="s">
        <v>79</v>
      </c>
      <c r="G31" s="25" t="s">
        <v>80</v>
      </c>
      <c r="H31" s="21" t="s">
        <v>81</v>
      </c>
      <c r="I31" s="21" t="s">
        <v>82</v>
      </c>
      <c r="J31" s="21" t="s">
        <v>83</v>
      </c>
    </row>
    <row r="32" spans="2:10" s="8" customFormat="1" ht="63.75" x14ac:dyDescent="0.25">
      <c r="B32" s="19">
        <f t="shared" si="5"/>
        <v>19</v>
      </c>
      <c r="C32" s="20">
        <v>1</v>
      </c>
      <c r="D32" s="21" t="s">
        <v>12</v>
      </c>
      <c r="E32" s="20">
        <v>4</v>
      </c>
      <c r="F32" s="22" t="s">
        <v>84</v>
      </c>
      <c r="G32" s="25" t="s">
        <v>85</v>
      </c>
      <c r="H32" s="21"/>
      <c r="I32" s="21"/>
      <c r="J32" s="21"/>
    </row>
    <row r="33" spans="1:12" s="8" customFormat="1" ht="51" x14ac:dyDescent="0.25">
      <c r="A33" s="14"/>
      <c r="B33" s="19">
        <f t="shared" si="5"/>
        <v>20</v>
      </c>
      <c r="C33" s="20">
        <v>2</v>
      </c>
      <c r="D33" s="21" t="s">
        <v>86</v>
      </c>
      <c r="E33" s="20">
        <v>1</v>
      </c>
      <c r="F33" s="22" t="s">
        <v>87</v>
      </c>
      <c r="G33" s="25" t="s">
        <v>88</v>
      </c>
      <c r="H33" s="21" t="s">
        <v>89</v>
      </c>
      <c r="I33" s="21" t="s">
        <v>90</v>
      </c>
      <c r="J33" s="21" t="s">
        <v>91</v>
      </c>
      <c r="K33" s="14"/>
    </row>
    <row r="34" spans="1:12" s="8" customFormat="1" ht="153" x14ac:dyDescent="0.25">
      <c r="A34" s="14"/>
      <c r="B34" s="19">
        <f t="shared" si="5"/>
        <v>21</v>
      </c>
      <c r="C34" s="20">
        <v>2</v>
      </c>
      <c r="D34" s="21" t="s">
        <v>86</v>
      </c>
      <c r="E34" s="20">
        <v>1</v>
      </c>
      <c r="F34" s="22" t="s">
        <v>92</v>
      </c>
      <c r="G34" s="25" t="s">
        <v>93</v>
      </c>
      <c r="H34" s="21" t="s">
        <v>94</v>
      </c>
      <c r="I34" s="21" t="s">
        <v>95</v>
      </c>
      <c r="J34" s="21" t="s">
        <v>96</v>
      </c>
      <c r="K34" s="14"/>
    </row>
    <row r="35" spans="1:12" s="8" customFormat="1" ht="51" x14ac:dyDescent="0.25">
      <c r="A35" s="14"/>
      <c r="B35" s="19">
        <f t="shared" si="5"/>
        <v>22</v>
      </c>
      <c r="C35" s="20">
        <v>2</v>
      </c>
      <c r="D35" s="21" t="s">
        <v>86</v>
      </c>
      <c r="E35" s="20">
        <v>1</v>
      </c>
      <c r="F35" s="22" t="s">
        <v>97</v>
      </c>
      <c r="G35" s="25" t="s">
        <v>98</v>
      </c>
      <c r="H35" s="21" t="s">
        <v>99</v>
      </c>
      <c r="I35" s="21" t="s">
        <v>100</v>
      </c>
      <c r="J35" s="21" t="s">
        <v>101</v>
      </c>
      <c r="K35" s="14"/>
    </row>
    <row r="36" spans="1:12" s="8" customFormat="1" ht="51" x14ac:dyDescent="0.25">
      <c r="A36" s="14"/>
      <c r="B36" s="19">
        <f t="shared" si="5"/>
        <v>23</v>
      </c>
      <c r="C36" s="20">
        <v>2</v>
      </c>
      <c r="D36" s="21" t="s">
        <v>86</v>
      </c>
      <c r="E36" s="20">
        <v>1</v>
      </c>
      <c r="F36" s="22" t="s">
        <v>102</v>
      </c>
      <c r="G36" s="25" t="s">
        <v>103</v>
      </c>
      <c r="H36" s="21"/>
      <c r="I36" s="21"/>
      <c r="J36" s="21"/>
      <c r="K36" s="14"/>
    </row>
    <row r="37" spans="1:12" s="8" customFormat="1" ht="51" x14ac:dyDescent="0.25">
      <c r="A37" s="14"/>
      <c r="B37" s="19">
        <f t="shared" si="5"/>
        <v>24</v>
      </c>
      <c r="C37" s="20">
        <v>2</v>
      </c>
      <c r="D37" s="21" t="s">
        <v>86</v>
      </c>
      <c r="E37" s="20">
        <v>1</v>
      </c>
      <c r="F37" s="22" t="s">
        <v>104</v>
      </c>
      <c r="G37" s="25" t="s">
        <v>105</v>
      </c>
      <c r="H37" s="21" t="s">
        <v>106</v>
      </c>
      <c r="I37" s="21" t="s">
        <v>107</v>
      </c>
      <c r="J37" s="21" t="s">
        <v>108</v>
      </c>
      <c r="K37" s="14"/>
    </row>
    <row r="38" spans="1:12" s="8" customFormat="1" ht="102" x14ac:dyDescent="0.25">
      <c r="A38" s="14"/>
      <c r="B38" s="19">
        <f t="shared" si="5"/>
        <v>25</v>
      </c>
      <c r="C38" s="20">
        <v>2</v>
      </c>
      <c r="D38" s="21" t="s">
        <v>86</v>
      </c>
      <c r="E38" s="20">
        <v>2</v>
      </c>
      <c r="F38" s="22" t="s">
        <v>109</v>
      </c>
      <c r="G38" s="25" t="s">
        <v>110</v>
      </c>
      <c r="H38" s="21"/>
      <c r="I38" s="21"/>
      <c r="J38" s="21"/>
      <c r="K38" s="14"/>
    </row>
    <row r="39" spans="1:12" s="8" customFormat="1" ht="51" x14ac:dyDescent="0.25">
      <c r="A39" s="14"/>
      <c r="B39" s="19">
        <f t="shared" si="5"/>
        <v>26</v>
      </c>
      <c r="C39" s="20">
        <v>2</v>
      </c>
      <c r="D39" s="21" t="s">
        <v>86</v>
      </c>
      <c r="E39" s="20">
        <v>2</v>
      </c>
      <c r="F39" s="22" t="s">
        <v>111</v>
      </c>
      <c r="G39" s="25" t="s">
        <v>112</v>
      </c>
      <c r="H39" s="21"/>
      <c r="I39" s="21"/>
      <c r="J39" s="21"/>
      <c r="K39" s="14"/>
      <c r="L39" s="14"/>
    </row>
    <row r="40" spans="1:12" s="8" customFormat="1" ht="51" x14ac:dyDescent="0.25">
      <c r="A40" s="14"/>
      <c r="B40" s="19">
        <f t="shared" si="5"/>
        <v>27</v>
      </c>
      <c r="C40" s="20">
        <v>2</v>
      </c>
      <c r="D40" s="21" t="s">
        <v>86</v>
      </c>
      <c r="E40" s="20">
        <v>2</v>
      </c>
      <c r="F40" s="22" t="s">
        <v>113</v>
      </c>
      <c r="G40" s="25" t="s">
        <v>114</v>
      </c>
      <c r="H40" s="21" t="s">
        <v>115</v>
      </c>
      <c r="I40" s="21" t="s">
        <v>116</v>
      </c>
      <c r="J40" s="21" t="s">
        <v>117</v>
      </c>
      <c r="L40" s="14"/>
    </row>
    <row r="41" spans="1:12" s="8" customFormat="1" ht="51" x14ac:dyDescent="0.25">
      <c r="A41" s="14"/>
      <c r="B41" s="19">
        <f t="shared" si="5"/>
        <v>28</v>
      </c>
      <c r="C41" s="20">
        <v>2</v>
      </c>
      <c r="D41" s="21" t="s">
        <v>86</v>
      </c>
      <c r="E41" s="20">
        <v>2</v>
      </c>
      <c r="F41" s="22" t="s">
        <v>118</v>
      </c>
      <c r="G41" s="25" t="s">
        <v>119</v>
      </c>
      <c r="H41" s="21"/>
      <c r="I41" s="21"/>
      <c r="J41" s="21"/>
      <c r="K41" s="14"/>
      <c r="L41" s="14"/>
    </row>
    <row r="42" spans="1:12" s="8" customFormat="1" ht="51" x14ac:dyDescent="0.25">
      <c r="A42" s="14"/>
      <c r="B42" s="19">
        <f t="shared" si="5"/>
        <v>29</v>
      </c>
      <c r="C42" s="20">
        <v>2</v>
      </c>
      <c r="D42" s="21" t="s">
        <v>86</v>
      </c>
      <c r="E42" s="20">
        <v>2</v>
      </c>
      <c r="F42" s="22" t="s">
        <v>120</v>
      </c>
      <c r="G42" s="25" t="s">
        <v>121</v>
      </c>
      <c r="H42" s="21" t="s">
        <v>122</v>
      </c>
      <c r="I42" s="21" t="s">
        <v>123</v>
      </c>
      <c r="J42" s="21" t="s">
        <v>124</v>
      </c>
      <c r="K42" s="14"/>
      <c r="L42" s="14"/>
    </row>
    <row r="43" spans="1:12" s="8" customFormat="1" ht="51" x14ac:dyDescent="0.25">
      <c r="A43" s="14"/>
      <c r="B43" s="19">
        <f t="shared" si="5"/>
        <v>30</v>
      </c>
      <c r="C43" s="20">
        <v>2</v>
      </c>
      <c r="D43" s="21" t="s">
        <v>86</v>
      </c>
      <c r="E43" s="20">
        <v>2</v>
      </c>
      <c r="F43" s="22" t="s">
        <v>125</v>
      </c>
      <c r="G43" s="25" t="s">
        <v>126</v>
      </c>
      <c r="H43" s="21" t="s">
        <v>127</v>
      </c>
      <c r="I43" s="21" t="s">
        <v>128</v>
      </c>
      <c r="J43" s="21" t="s">
        <v>129</v>
      </c>
      <c r="K43" s="14"/>
      <c r="L43" s="14"/>
    </row>
    <row r="44" spans="1:12" s="8" customFormat="1" ht="51" x14ac:dyDescent="0.25">
      <c r="A44" s="14"/>
      <c r="B44" s="19">
        <f t="shared" si="5"/>
        <v>31</v>
      </c>
      <c r="C44" s="20">
        <v>2</v>
      </c>
      <c r="D44" s="21" t="s">
        <v>86</v>
      </c>
      <c r="E44" s="20">
        <v>2</v>
      </c>
      <c r="F44" s="22" t="s">
        <v>130</v>
      </c>
      <c r="G44" s="25" t="s">
        <v>131</v>
      </c>
      <c r="H44" s="21"/>
      <c r="I44" s="21"/>
      <c r="J44" s="21"/>
      <c r="K44" s="14"/>
      <c r="L44" s="14"/>
    </row>
    <row r="45" spans="1:12" s="8" customFormat="1" ht="51" x14ac:dyDescent="0.25">
      <c r="A45" s="14"/>
      <c r="B45" s="19">
        <f t="shared" si="5"/>
        <v>32</v>
      </c>
      <c r="C45" s="20">
        <v>2</v>
      </c>
      <c r="D45" s="21" t="s">
        <v>86</v>
      </c>
      <c r="E45" s="20">
        <v>2</v>
      </c>
      <c r="F45" s="22" t="s">
        <v>132</v>
      </c>
      <c r="G45" s="25" t="s">
        <v>133</v>
      </c>
      <c r="H45" s="21" t="s">
        <v>134</v>
      </c>
      <c r="I45" s="21" t="s">
        <v>135</v>
      </c>
      <c r="J45" s="21"/>
      <c r="K45" s="14"/>
      <c r="L45" s="14"/>
    </row>
    <row r="46" spans="1:12" s="8" customFormat="1" ht="51" x14ac:dyDescent="0.25">
      <c r="A46" s="14"/>
      <c r="B46" s="19">
        <f t="shared" si="5"/>
        <v>33</v>
      </c>
      <c r="C46" s="20">
        <v>2</v>
      </c>
      <c r="D46" s="21" t="s">
        <v>86</v>
      </c>
      <c r="E46" s="20">
        <v>2</v>
      </c>
      <c r="F46" s="22" t="s">
        <v>136</v>
      </c>
      <c r="G46" s="25" t="s">
        <v>137</v>
      </c>
      <c r="H46" s="21" t="s">
        <v>138</v>
      </c>
      <c r="I46" s="21" t="s">
        <v>139</v>
      </c>
      <c r="J46" s="21" t="s">
        <v>140</v>
      </c>
      <c r="K46" s="14"/>
      <c r="L46" s="14"/>
    </row>
    <row r="47" spans="1:12" s="8" customFormat="1" ht="51" x14ac:dyDescent="0.25">
      <c r="A47" s="14"/>
      <c r="B47" s="19">
        <f t="shared" si="5"/>
        <v>34</v>
      </c>
      <c r="C47" s="20">
        <v>2</v>
      </c>
      <c r="D47" s="21" t="s">
        <v>86</v>
      </c>
      <c r="E47" s="20">
        <v>2</v>
      </c>
      <c r="F47" s="22" t="s">
        <v>141</v>
      </c>
      <c r="G47" s="25" t="s">
        <v>142</v>
      </c>
      <c r="H47" s="21"/>
      <c r="I47" s="21"/>
      <c r="J47" s="21"/>
      <c r="K47" s="14"/>
      <c r="L47" s="14"/>
    </row>
    <row r="48" spans="1:12" s="8" customFormat="1" ht="51" x14ac:dyDescent="0.25">
      <c r="A48" s="14"/>
      <c r="B48" s="19">
        <f t="shared" si="5"/>
        <v>35</v>
      </c>
      <c r="C48" s="20">
        <v>2</v>
      </c>
      <c r="D48" s="21" t="s">
        <v>86</v>
      </c>
      <c r="E48" s="20">
        <v>2</v>
      </c>
      <c r="F48" s="22" t="s">
        <v>143</v>
      </c>
      <c r="G48" s="25" t="s">
        <v>144</v>
      </c>
      <c r="H48" s="21" t="s">
        <v>145</v>
      </c>
      <c r="I48" s="21" t="s">
        <v>146</v>
      </c>
      <c r="J48" s="21" t="s">
        <v>147</v>
      </c>
      <c r="K48" s="14"/>
      <c r="L48" s="14"/>
    </row>
    <row r="49" spans="1:12" s="8" customFormat="1" ht="76.5" x14ac:dyDescent="0.25">
      <c r="A49" s="14"/>
      <c r="B49" s="19">
        <f t="shared" si="5"/>
        <v>36</v>
      </c>
      <c r="C49" s="20">
        <v>2</v>
      </c>
      <c r="D49" s="21" t="s">
        <v>86</v>
      </c>
      <c r="E49" s="20">
        <v>3</v>
      </c>
      <c r="F49" s="22" t="s">
        <v>148</v>
      </c>
      <c r="G49" s="25" t="s">
        <v>149</v>
      </c>
      <c r="H49" s="21"/>
      <c r="I49" s="21"/>
      <c r="J49" s="21"/>
      <c r="K49" s="14"/>
      <c r="L49" s="14"/>
    </row>
    <row r="50" spans="1:12" ht="229.5" x14ac:dyDescent="0.25">
      <c r="B50" s="19">
        <f t="shared" si="5"/>
        <v>37</v>
      </c>
      <c r="C50" s="20">
        <v>2</v>
      </c>
      <c r="D50" s="21" t="s">
        <v>86</v>
      </c>
      <c r="E50" s="20">
        <v>3</v>
      </c>
      <c r="F50" s="22" t="s">
        <v>150</v>
      </c>
      <c r="G50" s="25" t="s">
        <v>62</v>
      </c>
      <c r="H50" s="21" t="s">
        <v>63</v>
      </c>
      <c r="I50" s="21" t="s">
        <v>64</v>
      </c>
      <c r="J50" s="21" t="s">
        <v>65</v>
      </c>
    </row>
    <row r="51" spans="1:12" ht="51" x14ac:dyDescent="0.25">
      <c r="B51" s="19">
        <f t="shared" si="5"/>
        <v>38</v>
      </c>
      <c r="C51" s="20">
        <v>2</v>
      </c>
      <c r="D51" s="21" t="s">
        <v>86</v>
      </c>
      <c r="E51" s="20">
        <v>3</v>
      </c>
      <c r="F51" s="22" t="s">
        <v>151</v>
      </c>
      <c r="G51" s="25" t="s">
        <v>152</v>
      </c>
      <c r="H51" s="21" t="s">
        <v>153</v>
      </c>
      <c r="I51" s="21" t="s">
        <v>154</v>
      </c>
      <c r="J51" s="21" t="s">
        <v>155</v>
      </c>
    </row>
    <row r="52" spans="1:12" ht="114.75" x14ac:dyDescent="0.25">
      <c r="B52" s="19">
        <f t="shared" si="5"/>
        <v>39</v>
      </c>
      <c r="C52" s="20">
        <v>2</v>
      </c>
      <c r="D52" s="21" t="s">
        <v>86</v>
      </c>
      <c r="E52" s="20">
        <v>3</v>
      </c>
      <c r="F52" s="22" t="s">
        <v>156</v>
      </c>
      <c r="G52" s="25" t="s">
        <v>157</v>
      </c>
      <c r="H52" s="21" t="s">
        <v>158</v>
      </c>
      <c r="I52" s="21" t="s">
        <v>159</v>
      </c>
      <c r="J52" s="21" t="s">
        <v>160</v>
      </c>
    </row>
    <row r="53" spans="1:12" ht="51" x14ac:dyDescent="0.25">
      <c r="B53" s="19">
        <f t="shared" si="5"/>
        <v>40</v>
      </c>
      <c r="C53" s="20">
        <v>2</v>
      </c>
      <c r="D53" s="21" t="s">
        <v>86</v>
      </c>
      <c r="E53" s="20">
        <v>3</v>
      </c>
      <c r="F53" s="22" t="s">
        <v>161</v>
      </c>
      <c r="G53" s="25" t="s">
        <v>162</v>
      </c>
      <c r="H53" s="21"/>
      <c r="I53" s="21"/>
      <c r="J53" s="21"/>
    </row>
    <row r="54" spans="1:12" ht="51" x14ac:dyDescent="0.25">
      <c r="B54" s="19">
        <f t="shared" si="5"/>
        <v>41</v>
      </c>
      <c r="C54" s="20">
        <v>2</v>
      </c>
      <c r="D54" s="21" t="s">
        <v>86</v>
      </c>
      <c r="E54" s="20">
        <v>4</v>
      </c>
      <c r="F54" s="22" t="s">
        <v>163</v>
      </c>
      <c r="G54" s="25" t="s">
        <v>164</v>
      </c>
      <c r="H54" s="21" t="s">
        <v>165</v>
      </c>
      <c r="I54" s="21" t="s">
        <v>166</v>
      </c>
      <c r="J54" s="21" t="s">
        <v>167</v>
      </c>
    </row>
    <row r="55" spans="1:12" ht="63.75" x14ac:dyDescent="0.25">
      <c r="B55" s="19">
        <f t="shared" si="5"/>
        <v>42</v>
      </c>
      <c r="C55" s="20">
        <v>2</v>
      </c>
      <c r="D55" s="21" t="s">
        <v>86</v>
      </c>
      <c r="E55" s="20">
        <v>4</v>
      </c>
      <c r="F55" s="22" t="s">
        <v>168</v>
      </c>
      <c r="G55" s="25" t="s">
        <v>169</v>
      </c>
      <c r="H55" s="21"/>
      <c r="I55" s="21"/>
      <c r="J55" s="21"/>
    </row>
    <row r="56" spans="1:12" ht="280.5" x14ac:dyDescent="0.25">
      <c r="B56" s="19">
        <f t="shared" si="5"/>
        <v>43</v>
      </c>
      <c r="C56" s="20">
        <v>2</v>
      </c>
      <c r="D56" s="21" t="s">
        <v>86</v>
      </c>
      <c r="E56" s="20">
        <v>4</v>
      </c>
      <c r="F56" s="22" t="s">
        <v>170</v>
      </c>
      <c r="G56" s="25" t="s">
        <v>171</v>
      </c>
      <c r="H56" s="21" t="s">
        <v>172</v>
      </c>
      <c r="I56" s="21" t="s">
        <v>173</v>
      </c>
      <c r="J56" s="21" t="s">
        <v>174</v>
      </c>
    </row>
    <row r="57" spans="1:12" ht="127.5" x14ac:dyDescent="0.25">
      <c r="B57" s="19">
        <f t="shared" si="5"/>
        <v>44</v>
      </c>
      <c r="C57" s="20">
        <v>2</v>
      </c>
      <c r="D57" s="21" t="s">
        <v>86</v>
      </c>
      <c r="E57" s="20">
        <v>4</v>
      </c>
      <c r="F57" s="22" t="s">
        <v>175</v>
      </c>
      <c r="G57" s="25" t="s">
        <v>176</v>
      </c>
      <c r="H57" s="21"/>
      <c r="I57" s="21"/>
      <c r="J57" s="21"/>
    </row>
    <row r="58" spans="1:12" ht="51" x14ac:dyDescent="0.25">
      <c r="B58" s="19">
        <f t="shared" si="5"/>
        <v>45</v>
      </c>
      <c r="C58" s="20">
        <v>2</v>
      </c>
      <c r="D58" s="21" t="s">
        <v>86</v>
      </c>
      <c r="E58" s="20">
        <v>4</v>
      </c>
      <c r="F58" s="22" t="s">
        <v>177</v>
      </c>
      <c r="G58" s="25" t="s">
        <v>178</v>
      </c>
      <c r="H58" s="21"/>
      <c r="I58" s="21"/>
      <c r="J58" s="21"/>
    </row>
    <row r="59" spans="1:12" ht="344.25" x14ac:dyDescent="0.25">
      <c r="B59" s="19">
        <f t="shared" si="5"/>
        <v>46</v>
      </c>
      <c r="C59" s="20">
        <v>2</v>
      </c>
      <c r="D59" s="21" t="s">
        <v>86</v>
      </c>
      <c r="E59" s="20">
        <v>4</v>
      </c>
      <c r="F59" s="22" t="s">
        <v>179</v>
      </c>
      <c r="G59" s="25" t="s">
        <v>180</v>
      </c>
      <c r="H59" s="21" t="s">
        <v>181</v>
      </c>
      <c r="I59" s="21" t="s">
        <v>182</v>
      </c>
      <c r="J59" s="21" t="s">
        <v>183</v>
      </c>
    </row>
    <row r="60" spans="1:12" ht="306" x14ac:dyDescent="0.25">
      <c r="B60" s="19">
        <f t="shared" si="5"/>
        <v>47</v>
      </c>
      <c r="C60" s="20">
        <v>2</v>
      </c>
      <c r="D60" s="21" t="s">
        <v>86</v>
      </c>
      <c r="E60" s="20">
        <v>4</v>
      </c>
      <c r="F60" s="22" t="s">
        <v>184</v>
      </c>
      <c r="G60" s="25" t="s">
        <v>185</v>
      </c>
      <c r="H60" s="21" t="s">
        <v>186</v>
      </c>
      <c r="I60" s="21" t="s">
        <v>187</v>
      </c>
      <c r="J60" s="21" t="s">
        <v>188</v>
      </c>
    </row>
    <row r="61" spans="1:12" ht="38.25" x14ac:dyDescent="0.25">
      <c r="B61" s="19">
        <f t="shared" si="5"/>
        <v>48</v>
      </c>
      <c r="C61" s="20">
        <v>3</v>
      </c>
      <c r="D61" s="21" t="s">
        <v>189</v>
      </c>
      <c r="E61" s="20">
        <v>1</v>
      </c>
      <c r="F61" s="22" t="s">
        <v>190</v>
      </c>
      <c r="G61" s="25" t="s">
        <v>191</v>
      </c>
      <c r="H61" s="21" t="s">
        <v>192</v>
      </c>
      <c r="I61" s="21" t="s">
        <v>193</v>
      </c>
      <c r="J61" s="21" t="s">
        <v>194</v>
      </c>
    </row>
    <row r="62" spans="1:12" ht="51" x14ac:dyDescent="0.25">
      <c r="B62" s="19">
        <f t="shared" si="5"/>
        <v>49</v>
      </c>
      <c r="C62" s="20">
        <v>3</v>
      </c>
      <c r="D62" s="21" t="s">
        <v>189</v>
      </c>
      <c r="E62" s="20">
        <v>1</v>
      </c>
      <c r="F62" s="22" t="s">
        <v>195</v>
      </c>
      <c r="G62" s="25" t="s">
        <v>196</v>
      </c>
      <c r="H62" s="21" t="s">
        <v>197</v>
      </c>
      <c r="I62" s="21" t="s">
        <v>198</v>
      </c>
      <c r="J62" s="21" t="s">
        <v>199</v>
      </c>
    </row>
    <row r="63" spans="1:12" ht="51" x14ac:dyDescent="0.25">
      <c r="B63" s="19">
        <f t="shared" si="5"/>
        <v>50</v>
      </c>
      <c r="C63" s="20">
        <v>3</v>
      </c>
      <c r="D63" s="21" t="s">
        <v>189</v>
      </c>
      <c r="E63" s="20">
        <v>1</v>
      </c>
      <c r="F63" s="22" t="s">
        <v>200</v>
      </c>
      <c r="G63" s="25" t="s">
        <v>201</v>
      </c>
      <c r="H63" s="21"/>
      <c r="I63" s="21"/>
      <c r="J63" s="21"/>
    </row>
    <row r="64" spans="1:12" ht="76.5" x14ac:dyDescent="0.25">
      <c r="B64" s="19">
        <f t="shared" si="5"/>
        <v>51</v>
      </c>
      <c r="C64" s="20">
        <v>3</v>
      </c>
      <c r="D64" s="21" t="s">
        <v>189</v>
      </c>
      <c r="E64" s="20">
        <v>1</v>
      </c>
      <c r="F64" s="22" t="s">
        <v>202</v>
      </c>
      <c r="G64" s="25" t="s">
        <v>203</v>
      </c>
      <c r="H64" s="21" t="s">
        <v>204</v>
      </c>
      <c r="I64" s="21" t="s">
        <v>205</v>
      </c>
      <c r="J64" s="21" t="s">
        <v>206</v>
      </c>
    </row>
    <row r="65" spans="2:10" ht="114.75" x14ac:dyDescent="0.25">
      <c r="B65" s="19">
        <f t="shared" si="5"/>
        <v>52</v>
      </c>
      <c r="C65" s="20">
        <v>3</v>
      </c>
      <c r="D65" s="21" t="s">
        <v>189</v>
      </c>
      <c r="E65" s="20">
        <v>1</v>
      </c>
      <c r="F65" s="22" t="s">
        <v>207</v>
      </c>
      <c r="G65" s="25" t="s">
        <v>208</v>
      </c>
      <c r="H65" s="21" t="s">
        <v>209</v>
      </c>
      <c r="I65" s="21" t="s">
        <v>210</v>
      </c>
      <c r="J65" s="21"/>
    </row>
    <row r="66" spans="2:10" ht="51" x14ac:dyDescent="0.25">
      <c r="B66" s="19">
        <f t="shared" si="5"/>
        <v>53</v>
      </c>
      <c r="C66" s="20">
        <v>3</v>
      </c>
      <c r="D66" s="21" t="s">
        <v>189</v>
      </c>
      <c r="E66" s="20">
        <v>1</v>
      </c>
      <c r="F66" s="22" t="s">
        <v>211</v>
      </c>
      <c r="G66" s="25" t="s">
        <v>212</v>
      </c>
      <c r="H66" s="21"/>
      <c r="I66" s="21"/>
      <c r="J66" s="21"/>
    </row>
    <row r="67" spans="2:10" ht="63.75" x14ac:dyDescent="0.25">
      <c r="B67" s="19">
        <f t="shared" si="5"/>
        <v>54</v>
      </c>
      <c r="C67" s="20">
        <v>3</v>
      </c>
      <c r="D67" s="21" t="s">
        <v>189</v>
      </c>
      <c r="E67" s="20">
        <v>2</v>
      </c>
      <c r="F67" s="22" t="s">
        <v>213</v>
      </c>
      <c r="G67" s="25" t="s">
        <v>214</v>
      </c>
      <c r="H67" s="21"/>
      <c r="I67" s="21"/>
      <c r="J67" s="21"/>
    </row>
    <row r="68" spans="2:10" ht="38.25" x14ac:dyDescent="0.25">
      <c r="B68" s="19">
        <f t="shared" si="5"/>
        <v>55</v>
      </c>
      <c r="C68" s="20">
        <v>3</v>
      </c>
      <c r="D68" s="21" t="s">
        <v>189</v>
      </c>
      <c r="E68" s="20">
        <v>2</v>
      </c>
      <c r="F68" s="22" t="s">
        <v>215</v>
      </c>
      <c r="G68" s="25" t="s">
        <v>216</v>
      </c>
      <c r="H68" s="21" t="s">
        <v>217</v>
      </c>
      <c r="I68" s="21" t="s">
        <v>218</v>
      </c>
      <c r="J68" s="21" t="s">
        <v>219</v>
      </c>
    </row>
    <row r="69" spans="2:10" ht="63.75" x14ac:dyDescent="0.25">
      <c r="B69" s="19">
        <f t="shared" si="5"/>
        <v>56</v>
      </c>
      <c r="C69" s="20">
        <v>3</v>
      </c>
      <c r="D69" s="21" t="s">
        <v>189</v>
      </c>
      <c r="E69" s="20">
        <v>2</v>
      </c>
      <c r="F69" s="22" t="s">
        <v>220</v>
      </c>
      <c r="G69" s="25" t="s">
        <v>221</v>
      </c>
      <c r="H69" s="21"/>
      <c r="I69" s="21"/>
      <c r="J69" s="21"/>
    </row>
    <row r="70" spans="2:10" ht="153" x14ac:dyDescent="0.25">
      <c r="B70" s="19">
        <f t="shared" si="5"/>
        <v>57</v>
      </c>
      <c r="C70" s="20">
        <v>3</v>
      </c>
      <c r="D70" s="21" t="s">
        <v>189</v>
      </c>
      <c r="E70" s="20">
        <v>2</v>
      </c>
      <c r="F70" s="22" t="s">
        <v>222</v>
      </c>
      <c r="G70" s="25" t="s">
        <v>62</v>
      </c>
      <c r="H70" s="21" t="s">
        <v>63</v>
      </c>
      <c r="I70" s="21" t="s">
        <v>64</v>
      </c>
      <c r="J70" s="21" t="s">
        <v>65</v>
      </c>
    </row>
    <row r="71" spans="2:10" ht="153" x14ac:dyDescent="0.25">
      <c r="B71" s="19">
        <f t="shared" si="5"/>
        <v>58</v>
      </c>
      <c r="C71" s="20">
        <v>3</v>
      </c>
      <c r="D71" s="21" t="s">
        <v>189</v>
      </c>
      <c r="E71" s="20">
        <v>2</v>
      </c>
      <c r="F71" s="22" t="s">
        <v>223</v>
      </c>
      <c r="G71" s="25" t="s">
        <v>224</v>
      </c>
      <c r="H71" s="21"/>
      <c r="I71" s="21"/>
      <c r="J71" s="21"/>
    </row>
    <row r="72" spans="2:10" ht="178.5" x14ac:dyDescent="0.25">
      <c r="B72" s="19">
        <f t="shared" si="5"/>
        <v>59</v>
      </c>
      <c r="C72" s="20">
        <v>3</v>
      </c>
      <c r="D72" s="21" t="s">
        <v>189</v>
      </c>
      <c r="E72" s="20">
        <v>2</v>
      </c>
      <c r="F72" s="22" t="s">
        <v>225</v>
      </c>
      <c r="G72" s="25" t="s">
        <v>94</v>
      </c>
      <c r="H72" s="21" t="s">
        <v>95</v>
      </c>
      <c r="I72" s="21" t="s">
        <v>93</v>
      </c>
      <c r="J72" s="21" t="s">
        <v>65</v>
      </c>
    </row>
    <row r="73" spans="2:10" ht="153" x14ac:dyDescent="0.25">
      <c r="B73" s="19">
        <f t="shared" si="5"/>
        <v>60</v>
      </c>
      <c r="C73" s="20">
        <v>3</v>
      </c>
      <c r="D73" s="21" t="s">
        <v>189</v>
      </c>
      <c r="E73" s="20">
        <v>3</v>
      </c>
      <c r="F73" s="22" t="s">
        <v>226</v>
      </c>
      <c r="G73" s="25" t="s">
        <v>227</v>
      </c>
      <c r="H73" s="21" t="s">
        <v>228</v>
      </c>
      <c r="I73" s="21" t="s">
        <v>229</v>
      </c>
      <c r="J73" s="21" t="s">
        <v>230</v>
      </c>
    </row>
    <row r="74" spans="2:10" ht="51" x14ac:dyDescent="0.25">
      <c r="B74" s="19">
        <f t="shared" si="5"/>
        <v>61</v>
      </c>
      <c r="C74" s="20">
        <v>3</v>
      </c>
      <c r="D74" s="21" t="s">
        <v>189</v>
      </c>
      <c r="E74" s="20">
        <v>3</v>
      </c>
      <c r="F74" s="22" t="s">
        <v>231</v>
      </c>
      <c r="G74" s="25" t="s">
        <v>232</v>
      </c>
      <c r="H74" s="21" t="s">
        <v>233</v>
      </c>
      <c r="I74" s="21" t="s">
        <v>234</v>
      </c>
      <c r="J74" s="21" t="s">
        <v>235</v>
      </c>
    </row>
    <row r="75" spans="2:10" ht="51" x14ac:dyDescent="0.25">
      <c r="B75" s="19">
        <f t="shared" si="5"/>
        <v>62</v>
      </c>
      <c r="C75" s="20">
        <v>3</v>
      </c>
      <c r="D75" s="21" t="s">
        <v>189</v>
      </c>
      <c r="E75" s="20">
        <v>3</v>
      </c>
      <c r="F75" s="22" t="s">
        <v>236</v>
      </c>
      <c r="G75" s="25" t="s">
        <v>237</v>
      </c>
      <c r="H75" s="21"/>
      <c r="I75" s="21"/>
      <c r="J75" s="21"/>
    </row>
    <row r="76" spans="2:10" ht="51" x14ac:dyDescent="0.25">
      <c r="B76" s="19">
        <f t="shared" si="5"/>
        <v>63</v>
      </c>
      <c r="C76" s="20">
        <v>3</v>
      </c>
      <c r="D76" s="21" t="s">
        <v>189</v>
      </c>
      <c r="E76" s="20">
        <v>3</v>
      </c>
      <c r="F76" s="22" t="s">
        <v>238</v>
      </c>
      <c r="G76" s="25" t="s">
        <v>239</v>
      </c>
      <c r="H76" s="21" t="s">
        <v>240</v>
      </c>
      <c r="I76" s="21" t="s">
        <v>241</v>
      </c>
      <c r="J76" s="21" t="s">
        <v>242</v>
      </c>
    </row>
    <row r="77" spans="2:10" ht="63.75" x14ac:dyDescent="0.25">
      <c r="B77" s="19">
        <f t="shared" si="5"/>
        <v>64</v>
      </c>
      <c r="C77" s="20">
        <v>3</v>
      </c>
      <c r="D77" s="21" t="s">
        <v>189</v>
      </c>
      <c r="E77" s="20">
        <v>3</v>
      </c>
      <c r="F77" s="22" t="s">
        <v>243</v>
      </c>
      <c r="G77" s="25" t="s">
        <v>244</v>
      </c>
      <c r="H77" s="21"/>
      <c r="I77" s="21"/>
      <c r="J77" s="21"/>
    </row>
    <row r="78" spans="2:10" ht="89.25" x14ac:dyDescent="0.25">
      <c r="B78" s="19">
        <f t="shared" si="5"/>
        <v>65</v>
      </c>
      <c r="C78" s="20">
        <v>3</v>
      </c>
      <c r="D78" s="21" t="s">
        <v>189</v>
      </c>
      <c r="E78" s="20">
        <v>3</v>
      </c>
      <c r="F78" s="22" t="s">
        <v>245</v>
      </c>
      <c r="G78" s="25" t="s">
        <v>246</v>
      </c>
      <c r="H78" s="21"/>
      <c r="I78" s="21"/>
      <c r="J78" s="21"/>
    </row>
    <row r="79" spans="2:10" ht="140.25" x14ac:dyDescent="0.25">
      <c r="B79" s="19">
        <f t="shared" si="5"/>
        <v>66</v>
      </c>
      <c r="C79" s="20">
        <v>3</v>
      </c>
      <c r="D79" s="21" t="s">
        <v>189</v>
      </c>
      <c r="E79" s="20">
        <v>3</v>
      </c>
      <c r="F79" s="22" t="s">
        <v>247</v>
      </c>
      <c r="G79" s="25" t="s">
        <v>248</v>
      </c>
      <c r="H79" s="21" t="s">
        <v>249</v>
      </c>
      <c r="I79" s="21" t="s">
        <v>250</v>
      </c>
      <c r="J79" s="21" t="s">
        <v>251</v>
      </c>
    </row>
    <row r="80" spans="2:10" ht="178.5" x14ac:dyDescent="0.25">
      <c r="B80" s="19">
        <f t="shared" si="5"/>
        <v>67</v>
      </c>
      <c r="C80" s="20">
        <v>3</v>
      </c>
      <c r="D80" s="21" t="s">
        <v>189</v>
      </c>
      <c r="E80" s="20">
        <v>3</v>
      </c>
      <c r="F80" s="22" t="s">
        <v>252</v>
      </c>
      <c r="G80" s="25" t="s">
        <v>253</v>
      </c>
      <c r="H80" s="21" t="s">
        <v>254</v>
      </c>
      <c r="I80" s="21" t="s">
        <v>255</v>
      </c>
      <c r="J80" s="21" t="s">
        <v>256</v>
      </c>
    </row>
    <row r="81" spans="2:10" ht="63.75" x14ac:dyDescent="0.25">
      <c r="B81" s="19">
        <f t="shared" si="5"/>
        <v>68</v>
      </c>
      <c r="C81" s="20">
        <v>3</v>
      </c>
      <c r="D81" s="21" t="s">
        <v>189</v>
      </c>
      <c r="E81" s="20">
        <v>4</v>
      </c>
      <c r="F81" s="22" t="s">
        <v>257</v>
      </c>
      <c r="G81" s="25" t="s">
        <v>258</v>
      </c>
      <c r="H81" s="21"/>
      <c r="I81" s="21"/>
      <c r="J81" s="21"/>
    </row>
    <row r="82" spans="2:10" ht="51" x14ac:dyDescent="0.25">
      <c r="B82" s="19">
        <f t="shared" si="5"/>
        <v>69</v>
      </c>
      <c r="C82" s="20">
        <v>3</v>
      </c>
      <c r="D82" s="21" t="s">
        <v>189</v>
      </c>
      <c r="E82" s="20">
        <v>4</v>
      </c>
      <c r="F82" s="22" t="s">
        <v>259</v>
      </c>
      <c r="G82" s="25" t="s">
        <v>260</v>
      </c>
      <c r="H82" s="21" t="s">
        <v>261</v>
      </c>
      <c r="I82" s="21" t="s">
        <v>262</v>
      </c>
      <c r="J82" s="21" t="s">
        <v>263</v>
      </c>
    </row>
    <row r="83" spans="2:10" ht="63.75" x14ac:dyDescent="0.25">
      <c r="B83" s="19">
        <f t="shared" si="5"/>
        <v>70</v>
      </c>
      <c r="C83" s="20">
        <v>3</v>
      </c>
      <c r="D83" s="21" t="s">
        <v>189</v>
      </c>
      <c r="E83" s="20">
        <v>4</v>
      </c>
      <c r="F83" s="22" t="s">
        <v>264</v>
      </c>
      <c r="G83" s="25" t="s">
        <v>265</v>
      </c>
      <c r="H83" s="21"/>
      <c r="I83" s="21"/>
      <c r="J83" s="21"/>
    </row>
    <row r="84" spans="2:10" ht="51" x14ac:dyDescent="0.25">
      <c r="B84" s="19">
        <f t="shared" si="5"/>
        <v>71</v>
      </c>
      <c r="C84" s="20">
        <v>3</v>
      </c>
      <c r="D84" s="21" t="s">
        <v>189</v>
      </c>
      <c r="E84" s="20">
        <v>4</v>
      </c>
      <c r="F84" s="22" t="s">
        <v>266</v>
      </c>
      <c r="G84" s="25" t="s">
        <v>267</v>
      </c>
      <c r="H84" s="21" t="s">
        <v>268</v>
      </c>
      <c r="I84" s="21" t="s">
        <v>269</v>
      </c>
      <c r="J84" s="21" t="s">
        <v>270</v>
      </c>
    </row>
    <row r="85" spans="2:10" x14ac:dyDescent="0.25">
      <c r="B85" s="11"/>
      <c r="C85" s="12"/>
      <c r="D85" s="13"/>
      <c r="E85" s="12"/>
      <c r="F85" s="13"/>
      <c r="G85" s="13"/>
      <c r="H85" s="13"/>
      <c r="I85" s="13"/>
      <c r="J85" s="13"/>
    </row>
    <row r="86" spans="2:10" x14ac:dyDescent="0.25">
      <c r="B86" s="11"/>
      <c r="C86" s="12"/>
      <c r="D86" s="13"/>
      <c r="E86" s="12"/>
      <c r="F86" s="13"/>
      <c r="G86" s="13"/>
      <c r="H86" s="13"/>
      <c r="I86" s="13"/>
      <c r="J86" s="13"/>
    </row>
    <row r="87" spans="2:10" x14ac:dyDescent="0.25">
      <c r="B87" s="11"/>
      <c r="C87" s="12"/>
      <c r="D87" s="13"/>
      <c r="E87" s="12"/>
      <c r="F87" s="13"/>
      <c r="G87" s="13"/>
      <c r="H87" s="13"/>
      <c r="I87" s="13"/>
      <c r="J87" s="13"/>
    </row>
    <row r="88" spans="2:10" x14ac:dyDescent="0.25">
      <c r="B88" s="11"/>
      <c r="C88" s="12"/>
      <c r="D88" s="13"/>
      <c r="E88" s="12"/>
      <c r="F88" s="13"/>
      <c r="G88" s="13"/>
      <c r="H88" s="13"/>
      <c r="I88" s="13"/>
      <c r="J88" s="13"/>
    </row>
    <row r="89" spans="2:10" x14ac:dyDescent="0.25">
      <c r="B89" s="11"/>
      <c r="C89" s="12"/>
      <c r="D89" s="13"/>
      <c r="E89" s="12"/>
      <c r="F89" s="13"/>
      <c r="G89" s="15"/>
      <c r="H89" s="15"/>
      <c r="I89" s="15"/>
      <c r="J89" s="15"/>
    </row>
    <row r="90" spans="2:10" x14ac:dyDescent="0.25">
      <c r="B90" s="11"/>
      <c r="C90" s="12"/>
      <c r="D90" s="13"/>
      <c r="E90" s="12"/>
      <c r="F90" s="13"/>
      <c r="G90" s="13"/>
      <c r="H90" s="13"/>
      <c r="I90" s="13"/>
      <c r="J90" s="13"/>
    </row>
    <row r="91" spans="2:10" x14ac:dyDescent="0.25">
      <c r="B91" s="11"/>
      <c r="C91" s="12"/>
      <c r="D91" s="13"/>
      <c r="E91" s="12"/>
      <c r="F91" s="13"/>
      <c r="G91" s="13"/>
      <c r="H91" s="13"/>
      <c r="I91" s="13"/>
      <c r="J91" s="13"/>
    </row>
    <row r="92" spans="2:10" x14ac:dyDescent="0.25">
      <c r="B92" s="11"/>
      <c r="C92" s="12"/>
      <c r="D92" s="13"/>
      <c r="E92" s="12"/>
      <c r="F92" s="13"/>
      <c r="G92" s="13"/>
      <c r="H92" s="13"/>
      <c r="I92" s="13"/>
      <c r="J92" s="13"/>
    </row>
    <row r="93" spans="2:10" x14ac:dyDescent="0.25">
      <c r="B93" s="11"/>
      <c r="C93" s="12"/>
      <c r="D93" s="13"/>
      <c r="E93" s="12"/>
      <c r="F93" s="13"/>
      <c r="G93" s="15"/>
      <c r="H93" s="15"/>
      <c r="I93" s="15"/>
      <c r="J93" s="15"/>
    </row>
    <row r="94" spans="2:10" x14ac:dyDescent="0.25">
      <c r="B94" s="11"/>
      <c r="C94" s="12"/>
      <c r="D94" s="13"/>
      <c r="E94" s="12"/>
      <c r="F94" s="13"/>
      <c r="G94" s="13"/>
      <c r="H94" s="13"/>
      <c r="I94" s="13"/>
      <c r="J94" s="13"/>
    </row>
    <row r="95" spans="2:10" x14ac:dyDescent="0.25">
      <c r="B95" s="11"/>
      <c r="C95" s="12"/>
      <c r="D95" s="13"/>
      <c r="E95" s="12"/>
      <c r="F95" s="13"/>
      <c r="G95" s="13"/>
      <c r="H95" s="13"/>
      <c r="I95" s="13"/>
      <c r="J95" s="13"/>
    </row>
  </sheetData>
  <autoFilter ref="B13:M119" xr:uid="{B005C0B0-9D89-4729-AC6E-7F1010ED0730}"/>
  <sortState xmlns:xlrd2="http://schemas.microsoft.com/office/spreadsheetml/2017/richdata2" ref="C15:J49">
    <sortCondition ref="C15:C49"/>
    <sortCondition ref="E15:E49"/>
  </sortState>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P13b</vt:lpstr>
      <vt:lpstr>P13b!Print_Area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Luan, Nguyen Thanh Luan</cp:lastModifiedBy>
  <cp:revision/>
  <dcterms:created xsi:type="dcterms:W3CDTF">2025-07-01T11:38:19Z</dcterms:created>
  <dcterms:modified xsi:type="dcterms:W3CDTF">2026-10-02T02:31:51Z</dcterms:modified>
  <cp:category/>
  <cp:contentStatus/>
</cp:coreProperties>
</file>