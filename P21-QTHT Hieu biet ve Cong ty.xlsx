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20C6D4A4-A9E1-426F-B5B7-FC136FCD97DA}" xr6:coauthVersionLast="47" xr6:coauthVersionMax="47" xr10:uidLastSave="{00000000-0000-0000-0000-000000000000}"/>
  <bookViews>
    <workbookView xWindow="-120" yWindow="-120" windowWidth="29040" windowHeight="15720" firstSheet="1" activeTab="1" xr2:uid="{0A323993-6B0E-4465-9440-DABB234748ED}"/>
  </bookViews>
  <sheets>
    <sheet name="P21" sheetId="1" r:id="rId1"/>
    <sheet name="P21_final" sheetId="2" r:id="rId2"/>
  </sheets>
  <definedNames>
    <definedName name="_xlnm._FilterDatabase" localSheetId="0" hidden="1">'P21'!$B$13:$M$70</definedName>
    <definedName name="_xlnm._FilterDatabase" localSheetId="1" hidden="1">P21_final!$B$13:$M$70</definedName>
    <definedName name="_xlnm.Print_Area" localSheetId="0">'P21'!$B$1:$L$46</definedName>
    <definedName name="_xlnm.Print_Area" localSheetId="1">P21_final!$B$1:$L$46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2" l="1"/>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H9" i="2" s="1"/>
  <c r="D13" i="2"/>
  <c r="C13" i="2"/>
  <c r="B13" i="2"/>
  <c r="G8" i="2"/>
  <c r="F8" i="2"/>
  <c r="H6" i="2"/>
  <c r="G6" i="2"/>
  <c r="F6" i="2"/>
  <c r="B28" i="1"/>
  <c r="B27" i="1"/>
  <c r="B26" i="1"/>
  <c r="B25" i="1"/>
  <c r="B24" i="1"/>
  <c r="B23" i="1"/>
  <c r="B22" i="1"/>
  <c r="B21" i="1"/>
  <c r="B20" i="1"/>
  <c r="B19" i="1"/>
  <c r="B18" i="1"/>
  <c r="B17" i="1"/>
  <c r="B16" i="1"/>
  <c r="B15" i="1"/>
  <c r="B14" i="1"/>
  <c r="B43" i="1"/>
  <c r="B42" i="1"/>
  <c r="B41" i="1"/>
  <c r="B40" i="1"/>
  <c r="B39" i="1"/>
  <c r="B38" i="1"/>
  <c r="B37" i="1"/>
  <c r="B36" i="1"/>
  <c r="B35" i="1"/>
  <c r="B34" i="1"/>
  <c r="B33" i="1"/>
  <c r="B32" i="1"/>
  <c r="B31" i="1"/>
  <c r="B30" i="1"/>
  <c r="B29" i="1"/>
  <c r="B46" i="1"/>
  <c r="B45" i="1"/>
  <c r="B44" i="1"/>
  <c r="C13" i="1"/>
  <c r="D13" i="1"/>
  <c r="E13" i="1"/>
  <c r="F6" i="1" s="1"/>
  <c r="F13" i="1"/>
  <c r="G13" i="1"/>
  <c r="H13" i="1"/>
  <c r="I13" i="1"/>
  <c r="J13" i="1"/>
  <c r="B13" i="1"/>
  <c r="E6" i="2" l="1"/>
  <c r="F7" i="2"/>
  <c r="F9" i="2"/>
  <c r="G7" i="2"/>
  <c r="G9" i="2"/>
  <c r="H8" i="2"/>
  <c r="E8" i="2" s="1"/>
  <c r="H7" i="2"/>
  <c r="F9" i="1"/>
  <c r="G9" i="1"/>
  <c r="H9" i="1"/>
  <c r="F7" i="1"/>
  <c r="G7" i="1"/>
  <c r="H7" i="1"/>
  <c r="F8" i="1"/>
  <c r="G8" i="1"/>
  <c r="H8" i="1"/>
  <c r="G6" i="1"/>
  <c r="H6" i="1"/>
  <c r="H5" i="2" l="1"/>
  <c r="G5" i="2"/>
  <c r="E7" i="2"/>
  <c r="E9" i="2"/>
  <c r="F5" i="2"/>
  <c r="E9" i="1"/>
  <c r="E8" i="1"/>
  <c r="E7" i="1"/>
  <c r="E6" i="1"/>
  <c r="G5" i="1"/>
  <c r="F5" i="1"/>
  <c r="H5" i="1"/>
  <c r="E5" i="2" l="1"/>
  <c r="E5" i="1"/>
</calcChain>
</file>

<file path=xl/sharedStrings.xml><?xml version="1.0" encoding="utf-8"?>
<sst xmlns="http://schemas.openxmlformats.org/spreadsheetml/2006/main" count="424" uniqueCount="183">
  <si>
    <t>P21 - Hiểu biết về Công ty</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</si>
  <si>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</si>
  <si>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</si>
  <si>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</si>
  <si>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</si>
  <si>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</si>
  <si>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</si>
  <si>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</si>
  <si>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</si>
  <si>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</si>
  <si>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</si>
  <si>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</si>
  <si>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</si>
  <si>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Lịch sử và các giá trị của Công ty: Kiến thức về lịch sử hình thành, tầm nhìn, sứ mệnh, giá trị cốt lõi</t>
  </si>
  <si>
    <t>Công ty Cổ phần Thanh toán Quốc gia Việt Nam (Napas) hiện hoạt động chủ yếu trong lĩnh vực nào?</t>
  </si>
  <si>
    <t>Cung cấp các giải pháp trung gian thanh toán và hạ tầng thanh toán bán lẻ quốc gia</t>
  </si>
  <si>
    <t>Cung cấp dịch vụ thanh toán quốc tế và quản lý dự trữ ngoại tệ cho ngân hàng trung ương</t>
  </si>
  <si>
    <t>Phát triển các ứng dụng ngân hàng số và dịch vụ quản lý tài chính cá nhân cho người tiêu dùng</t>
  </si>
  <si>
    <t>Điều hành chính sách tiền tệ và giám sát hoạt động của các tổ chức tín dụng trong hệ thống ngân hàng</t>
  </si>
  <si>
    <t>Lý tưởng mà NAPAS hướng tới là gì?</t>
  </si>
  <si>
    <t>Vì một xã hội không tiền mặt</t>
  </si>
  <si>
    <t>Vì một Việt Nam phát triển bền vững</t>
  </si>
  <si>
    <t>Vì một hệ thống ngân hàng hiện đại</t>
  </si>
  <si>
    <t>Vì một cộng đồng tài chính số</t>
  </si>
  <si>
    <t>Sự kiện nào là bước ngoặt trong lịch sử phát triển của NAPAS vào năm 2015?</t>
  </si>
  <si>
    <t>Banknetvn hoàn thành công tác sáp nhập với Công ty Cổ phần Dịch vụ thẻ Smartlink</t>
  </si>
  <si>
    <t>Được niêm yết trên sàn chứng khoán</t>
  </si>
  <si>
    <t>Được cấp phép phát hành thẻ quốc tế</t>
  </si>
  <si>
    <t>Mở rộng hoạt động sang lĩnh vực viễn thông</t>
  </si>
  <si>
    <t>Tầm nhìn của Công ty Napas hướng tới điều gì?</t>
  </si>
  <si>
    <t>Trở thành mạng lưới thanh toán bán lẻ đáng tin cậy nhất</t>
  </si>
  <si>
    <t>Trở thành ngân hàng trung ương kỹ thuật số của Việt Nam</t>
  </si>
  <si>
    <t>Dẫn đầu trong sản xuất thẻ chip nội địa và thiết bị thanh toán</t>
  </si>
  <si>
    <t>Mở rộng ra thị trường Đông Nam Á trong lĩnh vực đầu tư tài chính</t>
  </si>
  <si>
    <t>Đâu là một trong những ưu tiên trọng tâm ngắn hạn trong chiến lược phát triển của Napas?</t>
  </si>
  <si>
    <t>Phát triển nền tảng thanh toán QR code nội địa, hướng đến đồng bộ toàn quốc</t>
  </si>
  <si>
    <t>Trở thành mạng lưới thanh toán bán lẻ đáng tin cậy nhất tại khu vực Đông Nam Á</t>
  </si>
  <si>
    <t>Xây dựng văn hóa chia sẻ giữa các doanh nghiệp công nghệ tài chính Việt Nam</t>
  </si>
  <si>
    <t>Thay thế hoàn toàn thẻ từ bằng thẻ chip nội địa trong 3 tháng tới trên toàn quốc</t>
  </si>
  <si>
    <t>Sứ mệnh của NAPAS là “Gắn kết người dân, doanh nghiệp và ngân hàng bằng các sản phẩm thanh toán sáng tạo”. Mục tiêu ngắn hạn nào dưới đây thể hiện đúng tinh thần của sứ mệnh này?</t>
  </si>
  <si>
    <t>Hoạt động xuất sắc và dẫn đầu về sản phẩm dịch vụ</t>
  </si>
  <si>
    <t>Xây dựng thương hiệu quốc tế và mở rộng sang thị trường nước ngoài</t>
  </si>
  <si>
    <t>Chuẩn bị đầu tư phát triển thanh toán bằng sinh trắc học vào giai đoạn 2026–2030</t>
  </si>
  <si>
    <t>Thúc đẩy quá trình chuyển đổi số trong quản trị nội bộ</t>
  </si>
  <si>
    <t>Từ lịch sử hình thành đến nay, Napas đã không ngừng mở rộng vai trò trong hạ tầng thanh toán quốc gia. Điều này phản ánh rõ mối liên hệ giữa:</t>
  </si>
  <si>
    <t>Tầm nhìn dài hạn và cam kết phát triển các dịch vụ thanh toán trung gian không dùng tiền mặt</t>
  </si>
  <si>
    <t>Lịch sử phát triển ban đầu và sự ưu tiên mở rộng mạng lưới chi nhánh vật lý toàn quốc</t>
  </si>
  <si>
    <t>Sứ mệnh cung cấp thẻ tín dụng quốc tế và mục tiêu trở thành ngân hàng bán lẻ đa năng</t>
  </si>
  <si>
    <t>Giá trị sáng tạo và định hướng chuyển thành công ty tư vấn công nghệ tài chính</t>
  </si>
  <si>
    <t>Chiến lược phát triển Napas trong bối cảnh chuyển đổi số toàn diện ở Việt Nam cần gắn liền với yếu tố nào sau đây?</t>
  </si>
  <si>
    <t>Phát huy vai trò trung gian thanh toán, kết nối hệ sinh thái ngân hàng – dịch vụ công – cộng đồng</t>
  </si>
  <si>
    <t>Tăng cường lợi nhuận bằng việc đẩy mạnh quảng cáo và thương mại hóa dữ liệu người dùng</t>
  </si>
  <si>
    <t>Duy trì quy trình hiện tại để tránh thay đổi, đảm bảo tính ổn định hệ thống</t>
  </si>
  <si>
    <t>Đầu tư vào các sản phẩm tài chính thay vì hạ tầng thanh toán để mở rộng nguồn thu</t>
  </si>
  <si>
    <t>Một nhân viên Napas đề xuất xây dựng giải pháp thanh toán không dùng tiền mặt cho thị trường giáo dục vùng sâu. Cách tiếp cận nào phản ánh đúng tầm nhìn và sứ mệnh của Công ty?</t>
  </si>
  <si>
    <t>Tập trung nghiên cứu giải pháp phù hợp để thúc đẩy hạ tầng thanh toán bán lẻ, tăng cường tiếp cận tài chính</t>
  </si>
  <si>
    <t>Phân khúc thị trường có nhiều rủi ro, nên đề xuất chuyển hướng sang thị trường thương mại điện tử lớn</t>
  </si>
  <si>
    <t>Chuyển giao toàn bộ giải pháp cho bên thứ ba vì Napas không trực tiếp phục vụ thị trường ngách</t>
  </si>
  <si>
    <t>Giảm ưu tiên cho thị trường này vì không phù hợp với mục tiêu tăng trưởng doanh thu ngắn hạn</t>
  </si>
  <si>
    <t>Bạn đang tham gia buổi họp chiến lược về sản phẩm mới tại Napas. Phát biểu nào sau đây thể hiện tốt nhất năng lực kết nối sứ mệnh với định hướng hành động?</t>
  </si>
  <si>
    <t>“Chúng ta cần đảm bảo sản phẩm này mở rộng khả năng tiếp cận tài chính cho nhóm khách hàng chưa được phục vụ tốt.”</t>
  </si>
  <si>
    <t>“Chúng ta nên ưu tiên sản phẩm nào có thể mang lại doanh thu cao nhất trong quý này.”</t>
  </si>
  <si>
    <t>“Mục tiêu quan trọng là thuyết phục được nhà đầu tư và chứng minh khả năng sinh lời.”</t>
  </si>
  <si>
    <t>“Chúng ta cần thận trọng để không thay đổi quá nhiều hệ thống hiện tại.”</t>
  </si>
  <si>
    <t>Một trưởng nhóm mới được giao nhiệm vụ phổ biến tầm nhìn của Napas cho đội dự án liên phòng ban. Hành động nào sau đây giúp lan tỏa tầm nhìn một cách hiệu quả nhất?</t>
  </si>
  <si>
    <t>Gắn tầm nhìn vào mục tiêu cụ thể trong dự án và khuyến khích thành viên phản ánh qua cách hành xử và quyết định</t>
  </si>
  <si>
    <t>Trình bày lại nguyên văn tầm nhìn trong buổi họp đầu tiên và nhấn mạnh yêu cầu ghi nhớ</t>
  </si>
  <si>
    <t>Giao cho từng thành viên viết bản cam kết thực hiện theo tầm nhìn</t>
  </si>
  <si>
    <t>Yêu cầu bộ phận truyền thông in khẩu hiệu tầm nhìn và dán tại nơi làm việc</t>
  </si>
  <si>
    <t>Tổ chức và nguyên tắc vận hành của Công ty: Lĩnh vực kinh doanh, sản phẩm, thị trường, khách hàng trọng tâm…</t>
  </si>
  <si>
    <t>Giá trị cốt lõi nào sau đây không nằm trong văn hóa của Công ty Napas?</t>
  </si>
  <si>
    <t>Cạnh tranh quyết liệt</t>
  </si>
  <si>
    <t>Làm việc nhóm và hợp tác</t>
  </si>
  <si>
    <t>Chính trực</t>
  </si>
  <si>
    <t>Cam kết</t>
  </si>
  <si>
    <t>Phòng ban nào sau đây chịu trách nhiệm về phát triển sản phẩm tại Napas?</t>
  </si>
  <si>
    <t>Phòng nghiên cứu phát triển sản phẩm</t>
  </si>
  <si>
    <t>Phòng hành chính quản trị</t>
  </si>
  <si>
    <t>Khối kỹ thuật</t>
  </si>
  <si>
    <t>Văn phòng</t>
  </si>
  <si>
    <t>Sản phẩm/dịch vụ nào sau đây của NAPAS có tốc độ tăng trưởng mạnh nhất về số lượng giao dịch giai đoạn 2015 – 2021?</t>
  </si>
  <si>
    <t>Dịch vụ Chuyển mạch nội địa ATM/POS</t>
  </si>
  <si>
    <t>Dịch vụ thanh toán QR Code</t>
  </si>
  <si>
    <t>Dịch vụ cổng thanh toán điện tử (Ecom)</t>
  </si>
  <si>
    <t>Dịch vụ Chuyển nhanh NAPAS 24/7</t>
  </si>
  <si>
    <t>Sản phẩm/dịch vụ nào sau đây KHÔNG phải là sản phẩm/dịch vụ chính của NAPAS?</t>
  </si>
  <si>
    <t>Dịch vụ phát hành thẻ ghi nợ nội địa</t>
  </si>
  <si>
    <t>Dịch vụ chuyển mạch liên ngân hàng 24/7</t>
  </si>
  <si>
    <t>Dịch vụ bù trừ điện tử</t>
  </si>
  <si>
    <t>Dịch vụ cổng thanh toán điện tử</t>
  </si>
  <si>
    <t>Khi triển khai một sản phẩm dịch vụ thanh toán mới cho thị trường ngân hàng, các bộ phận của Napas phối hợp như thế nào để đảm bảo hiệu quả?</t>
  </si>
  <si>
    <t>Khối Kỹ thuật phát triển giải pháp, Khối Kinh doanh tiếp cận khách hàng, và Khối Nghiệp vụ phối hợp đảm bảo các luồng xử lý nghiệp vụ tuân thủ quy định ngành</t>
  </si>
  <si>
    <t>Phòng Kiểm soát tuân thủ xây dựng sản phẩm, Khối Kinh doanh quản lý hệ thống kỹ thuật, Khối Kỹ thuật chịu trách nhiệm chăm sóc khách hàng</t>
  </si>
  <si>
    <t>Khối Nghiên cứu phát triển tự triển khai sản phẩm trực tiếp đến khách hàng mà không cần phối hợp</t>
  </si>
  <si>
    <t>Khối Nghiệp vụ khảo sát thị trường, phát triển sản phẩm và đồng thời phụ trách cả triển khai và truyền thông</t>
  </si>
  <si>
    <t>Tại sao việc hiểu rõ chức năng và mối liên kết giữa các phòng ban là quan trọng đối với nhân viên Napas?</t>
  </si>
  <si>
    <t>Vì điều đó giúp phối hợp hiệu quả hơn trong công việc và đạt mục tiêu chung</t>
  </si>
  <si>
    <t>Vì điều đó giúp mỗi người tập trung vào nhiệm vụ cá nhân và không phụ thuộc vào ai khác</t>
  </si>
  <si>
    <t>Vì điều đó giúp xác định ai là người chịu trách nhiệm khi có sự cố phát sinh</t>
  </si>
  <si>
    <t>Vì điều đó giúp hạn chế việc trao đổi thông tin giữa các phòng ban không liên quan</t>
  </si>
  <si>
    <t>Khi nhận thấy quy trình phối hợp giữa Khối Kinh doanh và Khối Kỹ thuật chậm trễ do trao đổi không đồng nhất, phương án cải tiến phù hợp là:</t>
  </si>
  <si>
    <t>Phân định lại rõ vai trò từng khối và thiết lập cơ chế trao đổi theo các mốc thời gian cụ thể</t>
  </si>
  <si>
    <t>Yêu cầu các bên sử dụng email thay vì trao đổi trực tiếp để dễ kiểm soát nội dung</t>
  </si>
  <si>
    <t>Giao toàn bộ quyền điều phối cho 1 khối nhằm giảm thiểu xung đột và tăng tính chủ động</t>
  </si>
  <si>
    <t>Tạm ngừng dự án để đánh giá lại năng lực từng cá nhân liên quan</t>
  </si>
  <si>
    <t>Trong dự án triển khai thanh toán QR đa nền tảng, việc Khối Nghiệp vụ phản hồi chậm ảnh hưởng đến tiến độ. Giải pháp nào phù hợp nhất để cải thiện?</t>
  </si>
  <si>
    <t>Sử dụng phần mềm quản lý tác vụ để minh bạch thời hạn và điểm phối hợp giữa các khối</t>
  </si>
  <si>
    <t>Tách riêng khối này ra khỏi quy trình liên thông</t>
  </si>
  <si>
    <t>Tăng áp lực xử lý bằng việc rút ngắn deadline theo chỉ đạo cấp trên</t>
  </si>
  <si>
    <t>Phân công người từ khối khác làm thay phần việc của Khối Nghiệp vụ</t>
  </si>
  <si>
    <t>Khối nghiệp vụ tại NAPAS đang đề xuất cải tiến các quy trình vận hành nhằm gia tăng hiệu quả trong cung cấp dịch vụ cho ngân hàng thành viên và đối tác trung gian thanh toán. Dựa trên chức năng nhiệm vụ của các phòng/ban trong hệ thống NAPAS, đâu là tập hợp hành động cải tiến hợp lý, có tính khả thi cao và tạo tác động trực tiếp đến giá trị cung ứng dịch vụ?
(1) Chuẩn hóa quy trình kết nối dịch vụ mới từ trung gian thanh toán theo hướng “plug-and-play”
(2) Tối ưu thời gian phản hồi xử lý lỗi giao dịch liên ngân hàng thông qua tích hợp kênh trao đổi kỹ thuật và nghiệp vụ
(3) Bổ sung tính năng chuyển đổi biểu phí tự động trên hệ thống NAPAS Core đối với ngân hàng đối tác
(4) Phân quyền cấp phê duyệt nghiệp vụ xử lý sự cố về trung tâm hỗ trợ khách hàng thay vì chờ lãnh đạo phê duyệt tập trung
(5) Rà soát quy trình thẩm định sản phẩm mới giữa các khối để rút ngắn thời gian từ đề xuất đến triển khai
(6) Phân cấp chủ động cho bộ phận kỹ thuật xử lý các thay đổi về hợp đồng dịch vụ để tăng tốc độ triển khai</t>
  </si>
  <si>
    <t>(1), (2), (3), (5)</t>
  </si>
  <si>
    <t>(2), (4), (5), (6)</t>
  </si>
  <si>
    <t>(1), (2), (5), (6)</t>
  </si>
  <si>
    <t>(2), (3), (4), (6)</t>
  </si>
  <si>
    <t>Một nhóm dự án tại NAPAS được giao nhiệm vụ nghiên cứu cải tiến mô hình vận hành dịch vụ thanh toán dịch vụ công (dịch vụ trả phí, học phí, thuế, điện, nước…). Họ đưa ra nhiều đề xuất cải tiến vận hành để phục vụ mô hình mở rộng, tích hợp đa kênh với các bộ/ngành và cổng dịch vụ công quốc gia. Đâu là tổ hợp đề xuất phản ánh tư duy đổi mới phù hợp với mô hình vận hành hiện tại và xu thế dịch vụ công số?
(1) Chuẩn hóa chuẩn kết nối giữa NAPAS và Cổng dịch vụ công quốc gia theo định dạng API RESTful
(2) Thiết lập mô hình kết nối liên thông nhiều lớp giữa NAPAS – ngân hàng – đơn vị dịch vụ công thay vì mô hình điểm – điểm
(3) Cơ cấu lại quy trình đối soát theo hướng xử lý tập trung tại cuối ngày thay vì đồng bộ tức thời
(4) Phát triển tính năng “quét QR theo mã hóa dữ liệu định danh cá nhân” để giảm lỗi nhập liệu người dùng
(5) Kết hợp dữ liệu từ các bộ ngành để cá nhân hóa gợi ý thanh toán dịch vụ định kỳ qua app ngân hàng
(6) Đẩy mạnh triển khai mô hình “dịch vụ tài chính tự vận hành” không thông qua ngân hàng, giảm phụ thuộc kênh trung gian</t>
  </si>
  <si>
    <t>(1), (2), (4), (5)</t>
  </si>
  <si>
    <t>(2), (3), (5), (6)</t>
  </si>
  <si>
    <t>(1), (2), (3), (6)</t>
  </si>
  <si>
    <t>(1), (4), (5), (6)</t>
  </si>
  <si>
    <t>Văn hóa và con người: hiểu và tôn trọng giá trị văn hóa; thúc đẩy sự gắn kết, đồng lòng, và xây dựng di sản văn hóa bền vững</t>
  </si>
  <si>
    <t>Đâu là một trong các đặc điểm nổi bật về văn hóa của NAPAS?</t>
  </si>
  <si>
    <t>Tận tâm &amp; Cống hiến</t>
  </si>
  <si>
    <t>Thúc đẩy cạnh tranh nội bộ để nâng cao hiệu suất cá nhân</t>
  </si>
  <si>
    <t>Ưu tiên phát triển theo chiều rộng hơn là chiều sâu</t>
  </si>
  <si>
    <t>Đánh giá hiệu quả dựa trên kết quả cuối cùng của dự án</t>
  </si>
  <si>
    <t>Đâu là một trong những giá trị cốt lõi được Napas xác định và đề cao trong văn hóa tổ chức?</t>
  </si>
  <si>
    <t>Sáng tạo và đổi mới trong công việc</t>
  </si>
  <si>
    <t>Duy trì cách làm cũ để đảm bảo an toàn</t>
  </si>
  <si>
    <t>Cạnh tranh nội bộ để thúc đẩy hiệu suất cá nhân</t>
  </si>
  <si>
    <t>Đề cao cá nhân để tối ưu hiệu quả</t>
  </si>
  <si>
    <t>Giá trị cốt lõi nào sau đây KHÔNG thuộc hệ giá trị của văn hóa doanh nghiệp NAPAS?</t>
  </si>
  <si>
    <t>Khát vọng dẫn đầu</t>
  </si>
  <si>
    <t>Sáng tạo và đổi mới</t>
  </si>
  <si>
    <t>Tuyên ngôn nào sau đây thể hiện đúng tinh thần văn hóa nội bộ của Napas?</t>
  </si>
  <si>
    <t>Xây dựng môi trường làm việc cởi mở và gắn kết</t>
  </si>
  <si>
    <t>Tăng trưởng bằng mọi giá để vượt qua đối thủ</t>
  </si>
  <si>
    <t>Ưu tiên lợi nhuận thay vì sự phối hợp</t>
  </si>
  <si>
    <t>Phát triển cá nhân tách biệt khỏi tập thể</t>
  </si>
  <si>
    <t>Khi phối hợp triển khai dự án liên quan đến cả kỹ thuật và nghiệp vụ tại NAPAS, điều gì sau đây là quan trọng nhất để thúc đẩy hiệu quả làm việc nhóm liên phòng ban?</t>
  </si>
  <si>
    <t>Hiểu được phong cách làm việc và mục tiêu ưu tiên khác nhau giữa các bộ phận</t>
  </si>
  <si>
    <t>Đảm bảo mỗi bên tập trung hoàn thành đúng phần việc được phân công</t>
  </si>
  <si>
    <t>Tăng cường giám sát chéo và tổ chức các cuộc họp kiểm điểm tiến độ hàng tuần</t>
  </si>
  <si>
    <t>Thiết lập KPI cá nhân tách biệt với KPI nhóm để tạo động lực cạnh tranh</t>
  </si>
  <si>
    <t>Tại Napas, một nhân viên làm việc hiệu quả với đồng nghiệp đến từ các phòng ban khác thường thể hiện điều gì?</t>
  </si>
  <si>
    <t>Linh hoạt trong giao tiếp, sẵn sàng điều chỉnh cách làm việc để phù hợp với đặc thù của từng bộ phận</t>
  </si>
  <si>
    <t>Luôn đề nghị người khác tuân theo phong cách làm việc của bộ phận mình để đảm bảo tính thống nhất</t>
  </si>
  <si>
    <t>Chỉ trao đổi với những bộ phận có phong cách làm việc tương tự để hạn chế xung đột</t>
  </si>
  <si>
    <t>Giữ nguyên cách làm quen thuộc của mình trong mọi tình huống để thể hiện sự nhất quán</t>
  </si>
  <si>
    <t>Theo chuẩn mực văn hóa Napas, nhân viên thể hiện sự tôn trọng sự khác biệt bằng cách nào?</t>
  </si>
  <si>
    <t>Chủ động lắng nghe, đóng góp ý kiến trên tinh thần cầu thị và xây dựng</t>
  </si>
  <si>
    <t>Đề xuất các giải pháp riêng biệt để làm nổi bật năng lực cá nhân</t>
  </si>
  <si>
    <t>Luôn ưu tiên ý kiến của người quản lý để đảm bảo không có xung đột</t>
  </si>
  <si>
    <t>Hạn chế tranh luận và giữ quan điểm cá nhân trong mọi tình huống</t>
  </si>
  <si>
    <t>Trong tổ chức như NAPAS, điều gì sau đây góp phần quan trọng vào việc xây dựng văn hóa “tôn trọng sự khác biệt”?</t>
  </si>
  <si>
    <t>Tạo không gian để các bộ phận chia sẻ về đặc thù công việc và thách thức trong vận hành</t>
  </si>
  <si>
    <t>Giao lưu nội bộ định kỳ bằng các hoạt động giải trí, thể thao</t>
  </si>
  <si>
    <t>Khuyến khích các bộ phận sử dụng chung một quy trình và mẫu biểu</t>
  </si>
  <si>
    <t>Phân nhóm nhân sự theo chuyên môn để tránh giao tiếp không hiệu quả</t>
  </si>
  <si>
    <t>Một báo cáo nội bộ của NAPAS cho thấy một số đơn vị phòng/ban có tỷ lệ nghỉ việc và tỷ lệ khiếu nại nội bộ cao hơn mức trung bình, dù kết quả công việc vẫn đạt chỉ tiêu. Các ý kiến sau được đưa ra để phân tích nguyên nhân từ góc độ văn hóa tổ chức. Đâu là các nguyên nhân cần ưu tiên xem xét và cải thiện nhằm tăng mức độ gắn kết lâu dài?
(1) Giao tiếp giữa các cấp quản lý và nhân viên thiếu minh bạch, chủ yếu thông qua văn bản hành chính
(2) Các giá trị văn hóa như "cam kết", "hợp tác" chưa được phản ánh rõ trong cách vận hành hàng ngày
(3) Tổ chức chưa có cơ chế phản hồi hai chiều hiệu quả trong quá trình triển khai công việc
(4) Việc ghi nhận và khen thưởng chưa thực hiện công bằng giữa các đơn vị có đặc thù công việc khác nhau
(5) Chính sách lương thưởng chưa cạnh tranh so với mặt bằng thị trường
(6) Nhân viên cảm thấy không có cơ hội đóng góp sáng kiến cải tiến liên phòng ban
(7) Áp lực hoàn thành KPI cá nhân cao hơn mức trung bình ngành</t>
  </si>
  <si>
    <t>(1), (2), (3), (4)</t>
  </si>
  <si>
    <t>(2), (3), (5), (6), (7)</t>
  </si>
  <si>
    <t>(1), (4), (5), (7)</t>
  </si>
  <si>
    <t>(2), (3), (4), (6), (7)</t>
  </si>
  <si>
    <t>Trong một đợt đánh giá nội bộ, NAPAS nhận thấy các dự án liên phòng ban có tỷ lệ trễ tiến độ cao hơn các dự án do một đơn vị thực hiện. Nhóm đánh giá văn hóa tổ chức đưa ra các giả định nguyên nhân dưới đây. Đâu là các nguyên nhân liên quan chặt chẽ đến văn hóa gắn kết và cần cải thiện để tăng hiệu quả phối hợp đa phòng ban?
(1) Thiếu đồng thuận về cách thức làm việc và thứ tự ưu tiên giữa các phòng
(2) Vai trò và trách nhiệm không được xác định rõ từ đầu giữa các bộ phận
(3) Mỗi đơn vị vẫn duy trì văn hóa làm việc riêng, thiếu cơ chế chia sẻ mục tiêu chung
(4) Các quy trình phối hợp chưa cập nhật theo mô hình vận hành tích hợp
(5) Mỗi bộ phận có quy chế đánh giá hiệu suất riêng nên không thống nhất cách đo kết quả
(6) Việc đánh giá chất lượng phối hợp chưa được phản ánh trong khen thưởng nội bộ
(7) Một số trưởng nhóm dự án chỉ ưu tiên quản lý tiến độ nội bộ mà không điều phối tổng thể</t>
  </si>
  <si>
    <t>(1), (3), (4), (5), (6)</t>
  </si>
  <si>
    <t>(2), (4), (5), (6), (7)</t>
  </si>
  <si>
    <t>(1), (2), (5), (7)</t>
  </si>
  <si>
    <t>Một chiến dịch nội bộ của NAPAS có tên “Chúng ta là một” nhằm thúc đẩy sự đồng lòng trong toàn công ty, được triển khai trong bối cảnh chuyển đổi số. Các hoạt động dưới đây được đề xuất trong chiến dịch. Đâu là các hành động giúp chiến dịch đạt hiệu quả cao về văn hóa tổ chức?
(1) Tổ chức tọa đàm liên khối về vai trò của từng bộ phận trong hệ sinh thái sản phẩm
(2) Phát động phong trào “đổi ca vị trí công việc 1 ngày” giữa các phòng ban kỹ thuật và nghiệp vụ
(3) Khuyến khích cá nhân xây dựng bài viết “Tôi đồng hành với Napas vì…” đăng trên nội bộ
(4) Cấp ngân sách cho từng phòng ban tổ chức tiệc kết nối riêng biệt không yêu cầu báo cáo kết quả
(5) Mời lãnh đạo từng khối chia sẻ ngắn hàng tuần về tiến độ mục tiêu và khó khăn của đơn vị mình
(6) Phát hành biểu mẫu khảo sát ẩn danh để thu thập phản hồi về gắn kết nội bộ
(7) Tạo kênh chat liên khối không phân quyền để “trao đổi nhanh” mọi chủ đề</t>
  </si>
  <si>
    <t>(1), (2), (3), (5), (6)</t>
  </si>
  <si>
    <t>(1), (3), (4), (5)</t>
  </si>
  <si>
    <t>(2), (3), (5), (7)</t>
  </si>
  <si>
    <t>(1), (2), (5), (6), (7)</t>
  </si>
  <si>
    <t>Một trưởng phòng tại NAPAS được giao nhiệm vụ đề xuất sáng kiến nâng cao tính gắn kết nội bộ theo định hướng "văn hóa là sức mạnh tập thể". Dưới đây là các đề xuất được đưa ra sau khi khảo sát nội bộ. Đâu là các sáng kiến phù hợp để khởi động giai đoạn đầu của chiến dịch lan tỏa văn hóa?
(1) Thiết kế chuỗi buổi “Lan tỏa giá trị cốt lõi” với chia sẻ thực tế từ cán bộ tuyến đầu
(2) Gắn KPI văn hóa cá nhân vào cơ chế đánh giá cuối năm để thúc đẩy thực thi
(3) Xây dựng podcast nội bộ với chủ đề “Một ngày làm việc tại NAPAS” từ nhiều phòng ban khác nhau
(4) Yêu cầu toàn bộ phòng ban thiết lập bộ quy tắc ứng xử riêng theo đặc thù công việc
(5) Tổ chức chiến dịch “thử thách phối hợp chéo phòng ban” thông qua các nhiệm vụ nhỏ
(6) Tạm dừng các hoạt động văn hóa 2 tháng để tập trung hoàn thành mục tiêu kinh doanh quý
(7) Mời chuyên gia văn hóa doanh nghiệp bên ngoài chia sẻ về mô hình xây dựng văn hóa tại các công ty công nghệ tài chính</t>
  </si>
  <si>
    <t>(1), (3), (5), (7)</t>
  </si>
  <si>
    <t>(1), (2), (4), (5), (6)</t>
  </si>
  <si>
    <t>(1), (4), (6), (7)</t>
  </si>
  <si>
    <r>
      <t xml:space="preserve">Một nhóm dự án tại NAPAS được giao nhiệm vụ nghiên cứu cải tiến mô hình vận hành dịch vụ thanh toán dịch vụ công (dịch vụ trả phí, học phí, thuế, điện, nước…). Họ đưa ra nhiều đề xuất cải tiến vận hành để phục vụ mô hình mở rộng, tích hợp đa kênh với các bộ/ngành và cổng dịch vụ công quốc gia. Đâu là tổ hợp đề xuất phản ánh tư duy đổi mới phù hợp với mô hình vận hành hiện tại và xu thế dịch vụ công số?
(1) Chuẩn hóa chuẩn kết nối giữa NAPAS và Cổng dịch vụ công quốc gia theo định dạng API RESTful
(2) Thiết lập mô hình kết nối liên thông nhiều lớp giữa NAPAS – ngân hàng – đơn vị dịch vụ công thay vì mô hình điểm – điểm
(3) Cơ cấu lại quy trình đối soát theo hướng xử lý tập trung tại cuối ngày thay vì đồng bộ tức thời
(4) Phát triển tính năng “quét QR theo mã hóa dữ liệu định danh cá nhân” để giảm lỗi nhập liệu người dùng
(5) Kết hợp dữ liệu từ các bộ ngành để cá nhân hóa gợi ý thanh toán dịch vụ định kỳ qua app ngân hàng
</t>
    </r>
    <r>
      <rPr>
        <sz val="10"/>
        <color rgb="FFFF0000"/>
        <rFont val="Arial"/>
        <family val="2"/>
      </rPr>
      <t>(6) Đẩy mạnh triển khai mô hình “dịch vụ tài chính tự vận hành” không thông qua ngân hàng, giảm phụ thuộc kênh trung gian</t>
    </r>
  </si>
  <si>
    <r>
      <t xml:space="preserve">Khối nghiệp vụ tại NAPAS đang đề xuất cải tiến các quy trình vận hành nhằm gia tăng hiệu quả trong cung cấp dịch vụ cho ngân hàng thành viên và đối tác trung gian thanh toán. Dựa trên chức năng nhiệm vụ của các phòng/ban trong hệ thống NAPAS, đâu là tập hợp hành động cải tiến hợp lý, có tính khả thi cao và tạo tác động trực tiếp đến giá trị cung ứng dịch vụ?
(1) Chuẩn hóa quy trình kết nối dịch vụ mới từ trung gian thanh toán theo hướng “plug-and-play”
(2) Tối ưu thời gian phản hồi xử lý lỗi giao dịch liên ngân hàng thông qua tích hợp kênh trao đổi kỹ thuật và nghiệp vụ
(3) Bổ sung tính năng chuyển đổi biểu phí tự động trên hệ thống NAPAS Core đối với ngân hàng đối tác
(4) Phân quyền cấp phê duyệt nghiệp vụ xử lý sự cố về trung tâm hỗ trợ khách hàng thay vì chờ lãnh đạo phê duyệt tập trung
(5) Rà soát quy trình thẩm định sản phẩm mới giữa các khối để rút ngắn thời gian từ đề xuất đến triển khai
</t>
    </r>
    <r>
      <rPr>
        <sz val="10"/>
        <color rgb="FFFF0000"/>
        <rFont val="Arial"/>
        <family val="2"/>
      </rPr>
      <t>(6) Phân cấp chủ động cho bộ phận kỹ thuật xử lý các thay đổi về hợp đồng dịch vụ để tăng tốc độ triển khai</t>
    </r>
  </si>
  <si>
    <r>
      <t xml:space="preserve">Một báo cáo nội bộ của NAPAS cho thấy một số đơn vị phòng/ban có tỷ lệ nghỉ việc và tỷ lệ khiếu nại nội bộ cao hơn mức trung bình, dù kết quả công việc vẫn đạt chỉ tiêu. Các ý kiến sau được đưa ra để phân tích nguyên nhân từ góc độ văn hóa tổ chức. Đâu là các nguyên nhân cần ưu tiên xem xét và cải thiện nhằm tăng mức độ gắn kết lâu dài?
(1) Giao tiếp giữa các cấp quản lý và nhân viên thiếu minh bạch, chủ yếu thông qua văn bản hành chính
(2) Các giá trị văn hóa như "cam kết", "hợp tác" chưa được phản ánh rõ trong cách vận hành hàng ngày
(3) Tổ chức chưa có cơ chế phản hồi hai chiều hiệu quả trong quá trình triển khai công việc
(4) Việc ghi nhận và khen thưởng chưa thực hiện công bằng giữa các đơn vị có đặc thù công việc khác nhau
(5) Chính sách lương thưởng chưa cạnh tranh so với mặt bằng thị trường
(6) Nhân viên cảm thấy không có cơ hội đóng góp sáng kiến cải tiến liên phòng ban
</t>
    </r>
    <r>
      <rPr>
        <sz val="10"/>
        <color rgb="FFFF0000"/>
        <rFont val="Arial"/>
        <family val="2"/>
      </rPr>
      <t>(7) Áp lực hoàn thành KPI cá nhân cao hơn mức trung bình ngành</t>
    </r>
  </si>
  <si>
    <r>
      <t xml:space="preserve">Trong một đợt đánh giá nội bộ, NAPAS nhận thấy các dự án liên phòng ban có tỷ lệ trễ tiến độ cao hơn các dự án do một đơn vị thực hiện. Nhóm đánh giá văn hóa tổ chức đưa ra các giả định nguyên nhân dưới đây. Đâu là các nguyên nhân liên quan chặt chẽ đến văn hóa gắn kết và cần cải thiện để tăng hiệu quả phối hợp đa phòng ban?
(1) Thiếu đồng thuận về cách thức làm việc và thứ tự ưu tiên giữa các phòng
(2) Vai trò và trách nhiệm không được xác định rõ từ đầu giữa các bộ phận
(3) Mỗi đơn vị vẫn duy trì văn hóa làm việc riêng, thiếu cơ chế chia sẻ mục tiêu chung
(4) Các quy trình phối hợp chưa cập nhật theo mô hình vận hành tích hợp
</t>
    </r>
    <r>
      <rPr>
        <sz val="10"/>
        <color rgb="FFFF0000"/>
        <rFont val="Arial"/>
        <family val="2"/>
      </rPr>
      <t xml:space="preserve">(5) Mỗi bộ phận có quy chế đánh giá hiệu suất riêng nên không thống nhất cách đo kết quả
</t>
    </r>
    <r>
      <rPr>
        <sz val="10"/>
        <color theme="1"/>
        <rFont val="Arial"/>
        <family val="2"/>
      </rPr>
      <t>(6) Việc đánh giá chất lượng phối hợp chưa được phản ánh trong khen thưởng nội bộ
(7) Một số trưởng nhóm dự án chỉ ưu tiên quản lý tiến độ nội bộ mà không điều phối tổng thể</t>
    </r>
  </si>
  <si>
    <r>
      <t xml:space="preserve">Một chiến dịch nội bộ của NAPAS có tên “Chúng ta là một” nhằm thúc đẩy sự đồng lòng trong toàn công ty, được triển khai trong bối cảnh chuyển đổi số. Các hoạt động dưới đây được đề xuất trong chiến dịch. Đâu là các hành động giúp chiến dịch đạt hiệu quả cao về văn hóa tổ chức?
</t>
    </r>
    <r>
      <rPr>
        <sz val="10"/>
        <color theme="3" tint="0.249977111117893"/>
        <rFont val="Arial"/>
        <family val="2"/>
      </rPr>
      <t>(1) Tổ chức tọa đàm liên khối về vai trò của từng bộ phận trong hệ sinh thái sản phẩm</t>
    </r>
    <r>
      <rPr>
        <sz val="10"/>
        <color theme="1"/>
        <rFont val="Arial"/>
        <family val="2"/>
      </rPr>
      <t xml:space="preserve">
(2) Phát động phong trào “đổi ca vị trí công việc 1 ngày” giữa các phòng ban kỹ thuật và nghiệp vụ
(</t>
    </r>
    <r>
      <rPr>
        <sz val="10"/>
        <color theme="3" tint="0.249977111117893"/>
        <rFont val="Arial"/>
        <family val="2"/>
      </rPr>
      <t>3) Khuyến khích cá nhân xây dựng bài viết “Tôi đồng hành với Napas vì…” đăng trên nội bộ</t>
    </r>
    <r>
      <rPr>
        <sz val="10"/>
        <color theme="1"/>
        <rFont val="Arial"/>
        <family val="2"/>
      </rPr>
      <t xml:space="preserve">
</t>
    </r>
    <r>
      <rPr>
        <sz val="10"/>
        <color rgb="FFFF0000"/>
        <rFont val="Arial"/>
        <family val="2"/>
      </rPr>
      <t>(4) Cấp ngân sách cho từng phòng ban tổ chức tiệc kết nối riêng biệt không yêu cầu báo cáo kết quả</t>
    </r>
    <r>
      <rPr>
        <sz val="10"/>
        <color theme="1"/>
        <rFont val="Arial"/>
        <family val="2"/>
      </rPr>
      <t xml:space="preserve">
(5) Mời lãnh đạo từng khối chia sẻ ngắn hàng tuần về tiến độ mục tiêu và khó khăn của đơn vị mình
(6) Phát hành biểu mẫu khảo sát ẩn danh để thu thập phản hồi về gắn kết nội bộ
(7) Tạo kênh chat liên khối không phân quyền để “trao đổi nhanh” mọi chủ đề</t>
    </r>
  </si>
  <si>
    <r>
      <t xml:space="preserve">Một trưởng phòng tại NAPAS được giao nhiệm vụ đề xuất sáng kiến nâng cao tính gắn kết nội bộ theo định hướng "văn hóa là sức mạnh tập thể". Dưới đây là các đề xuất được đưa ra sau khi khảo sát nội bộ. Đâu là các sáng kiến phù hợp để khởi động giai đoạn đầu của chiến dịch lan tỏa văn hóa?
(1) Thiết kế chuỗi buổi “Lan tỏa giá trị cốt lõi” với chia sẻ thực tế từ cán bộ tuyến đầu
(2) Gắn KPI văn hóa cá nhân vào cơ chế đánh giá cuối năm để thúc đẩy thực thi
(3) Xây dựng podcast nội bộ với chủ đề “Một ngày làm việc tại NAPAS” từ nhiều phòng ban khác nhau
(4) Yêu cầu toàn bộ phòng ban thiết lập bộ quy tắc ứng xử riêng theo đặc thù công việc
(5) Tổ chức chiến dịch “thử thách phối hợp chéo phòng ban” thông qua các nhiệm vụ nhỏ
</t>
    </r>
    <r>
      <rPr>
        <sz val="10"/>
        <color rgb="FFFF0000"/>
        <rFont val="Arial"/>
        <family val="2"/>
      </rPr>
      <t>(6) Tạm dừng các hoạt động văn hóa 2 tháng để tập trung hoàn thành mục tiêu kinh doanh quý</t>
    </r>
    <r>
      <rPr>
        <sz val="10"/>
        <color theme="1"/>
        <rFont val="Arial"/>
        <family val="2"/>
      </rPr>
      <t xml:space="preserve">
(7) Mời chuyên gia văn hóa doanh nghiệp bên ngoài chia sẻ về mô hình xây dựng văn hóa tại các công ty công nghệ tài chính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</si>
</sst>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b/>
      <sz val="16"/>
      <color theme="1"/>
      <name val="Arial"/>
      <family val="2"/>
    </font>
    <font>
      <i/>
      <sz val="10"/>
      <color theme="1"/>
      <name val="Arial"/>
      <family val="2"/>
    </font>
    <font>
      <sz val="10"/>
      <color rgb="FFFF0000"/>
      <name val="Arial"/>
      <family val="2"/>
    </font>
    <font>
      <sz val="10"/>
      <color theme="3" tint="0.249977111117893"/>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2">
    <xf numFmtId="0" fontId="0" fillId="0" borderId="0"/>
    <xf numFmtId="0" fontId="2" fillId="0" borderId="0"/>
  </cellStyleXfs>
  <cellXfs count="28">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7" fillId="0" borderId="0" xfId="0" applyFont="1" applyAlignment="1">
      <alignment horizontal="left" vertical="top"/>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1" fillId="0" borderId="0" xfId="0" applyFont="1" applyAlignment="1">
      <alignment horizontal="left" vertical="top"/>
    </xf>
    <xf numFmtId="0" fontId="4" fillId="0" borderId="0" xfId="0" applyFont="1" applyAlignment="1">
      <alignment horizontal="center" vertical="top"/>
    </xf>
    <xf numFmtId="0" fontId="4" fillId="0" borderId="0" xfId="0" applyFont="1" applyAlignment="1">
      <alignment vertical="top"/>
    </xf>
    <xf numFmtId="0" fontId="1" fillId="9" borderId="1" xfId="0" applyFont="1" applyFill="1" applyBorder="1" applyAlignment="1">
      <alignment horizontal="center" vertical="center"/>
    </xf>
    <xf numFmtId="0" fontId="8" fillId="0" borderId="1" xfId="0" quotePrefix="1" applyFont="1" applyBorder="1" applyAlignment="1">
      <alignment horizontal="center" vertical="top" wrapText="1"/>
    </xf>
    <xf numFmtId="0" fontId="8" fillId="0" borderId="0" xfId="0" applyFont="1" applyAlignment="1">
      <alignment vertical="top"/>
    </xf>
    <xf numFmtId="0" fontId="4" fillId="0" borderId="3" xfId="0" applyFont="1" applyBorder="1" applyAlignment="1">
      <alignment horizontal="center" vertical="top" wrapText="1"/>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1:J46"/>
  <sheetViews>
    <sheetView showGridLines="0" topLeftCell="C1" zoomScale="85" zoomScaleNormal="85" workbookViewId="0">
      <selection activeCell="G34" sqref="G34"/>
    </sheetView>
  </sheetViews>
  <sheetFormatPr defaultColWidth="9" defaultRowHeight="12.75" outlineLevelRow="1" x14ac:dyDescent="0.25"/>
  <cols>
    <col min="1" max="1" width="2.85546875" style="20" customWidth="1"/>
    <col min="2" max="2" width="7.85546875" style="19" customWidth="1"/>
    <col min="3" max="3" width="9" style="19"/>
    <col min="4" max="4" width="23.42578125" style="20" customWidth="1"/>
    <col min="5" max="5" width="9" style="19"/>
    <col min="6" max="10" width="45.42578125" style="20" customWidth="1"/>
    <col min="11" max="11" width="9" style="20"/>
    <col min="12" max="12" width="12.5703125" style="20" customWidth="1"/>
    <col min="13" max="16384" width="9" style="20"/>
  </cols>
  <sheetData>
    <row r="1" spans="2:10" s="12" customFormat="1" ht="14.25" x14ac:dyDescent="0.25">
      <c r="B1" s="11"/>
      <c r="C1" s="11"/>
      <c r="E1" s="11"/>
    </row>
    <row r="2" spans="2:10" s="12" customFormat="1" ht="26.25" customHeight="1" x14ac:dyDescent="0.25">
      <c r="B2" s="13" t="s">
        <v>0</v>
      </c>
      <c r="C2" s="11"/>
      <c r="E2" s="11"/>
    </row>
    <row r="3" spans="2:10" s="12" customFormat="1" ht="10.35" customHeight="1" x14ac:dyDescent="0.25">
      <c r="B3" s="13"/>
      <c r="C3" s="11"/>
      <c r="E3" s="11"/>
    </row>
    <row r="4" spans="2:10" ht="31.5" customHeight="1" outlineLevel="1" x14ac:dyDescent="0.25">
      <c r="B4" s="18"/>
      <c r="D4" s="14" t="s">
        <v>1</v>
      </c>
      <c r="E4" s="15" t="s">
        <v>2</v>
      </c>
      <c r="F4" s="16">
        <v>1</v>
      </c>
      <c r="G4" s="16">
        <v>2</v>
      </c>
      <c r="H4" s="16">
        <v>3</v>
      </c>
    </row>
    <row r="5" spans="2:10" ht="20.100000000000001" customHeight="1" outlineLevel="1" x14ac:dyDescent="0.25">
      <c r="B5" s="18"/>
      <c r="D5" s="15" t="s">
        <v>2</v>
      </c>
      <c r="E5" s="15">
        <f>SUM(E6:E9)</f>
        <v>33</v>
      </c>
      <c r="F5" s="21">
        <f>SUM(F6:F9)</f>
        <v>11</v>
      </c>
      <c r="G5" s="21">
        <f t="shared" ref="G5:H5" si="0">SUM(G6:G9)</f>
        <v>10</v>
      </c>
      <c r="H5" s="21">
        <f t="shared" si="0"/>
        <v>12</v>
      </c>
    </row>
    <row r="6" spans="2:10" ht="20.100000000000001" customHeight="1" outlineLevel="1" x14ac:dyDescent="0.25">
      <c r="B6" s="18"/>
      <c r="D6" s="16">
        <v>1</v>
      </c>
      <c r="E6" s="21">
        <f>SUM(F6:H6)</f>
        <v>12</v>
      </c>
      <c r="F6" s="17">
        <f t="shared" ref="F6:H9" si="1">COUNTIFS($E$13:$E$133,$D6,$C$13:$C$133,F$4)</f>
        <v>4</v>
      </c>
      <c r="G6" s="17">
        <f t="shared" si="1"/>
        <v>4</v>
      </c>
      <c r="H6" s="17">
        <f t="shared" si="1"/>
        <v>4</v>
      </c>
    </row>
    <row r="7" spans="2:10" ht="20.100000000000001" customHeight="1" outlineLevel="1" x14ac:dyDescent="0.25">
      <c r="B7" s="18"/>
      <c r="D7" s="16">
        <v>2</v>
      </c>
      <c r="E7" s="21">
        <f t="shared" ref="E7:E9" si="2">SUM(F7:H7)</f>
        <v>9</v>
      </c>
      <c r="F7" s="17">
        <f t="shared" si="1"/>
        <v>3</v>
      </c>
      <c r="G7" s="17">
        <f t="shared" si="1"/>
        <v>2</v>
      </c>
      <c r="H7" s="17">
        <f t="shared" si="1"/>
        <v>4</v>
      </c>
    </row>
    <row r="8" spans="2:10" ht="20.100000000000001" customHeight="1" outlineLevel="1" x14ac:dyDescent="0.25">
      <c r="B8" s="18"/>
      <c r="D8" s="16">
        <v>3</v>
      </c>
      <c r="E8" s="21">
        <f t="shared" si="2"/>
        <v>6</v>
      </c>
      <c r="F8" s="17">
        <f t="shared" si="1"/>
        <v>2</v>
      </c>
      <c r="G8" s="17">
        <f t="shared" si="1"/>
        <v>2</v>
      </c>
      <c r="H8" s="17">
        <f t="shared" si="1"/>
        <v>2</v>
      </c>
    </row>
    <row r="9" spans="2:10" ht="20.100000000000001" customHeight="1" outlineLevel="1" x14ac:dyDescent="0.25">
      <c r="B9" s="18"/>
      <c r="D9" s="16">
        <v>4</v>
      </c>
      <c r="E9" s="21">
        <f t="shared" si="2"/>
        <v>6</v>
      </c>
      <c r="F9" s="17">
        <f t="shared" si="1"/>
        <v>2</v>
      </c>
      <c r="G9" s="17">
        <f t="shared" si="1"/>
        <v>2</v>
      </c>
      <c r="H9" s="17">
        <f t="shared" si="1"/>
        <v>2</v>
      </c>
    </row>
    <row r="10" spans="2:10" ht="6.75" customHeight="1" x14ac:dyDescent="0.25"/>
    <row r="11" spans="2:10" ht="19.350000000000001" customHeight="1" x14ac:dyDescent="0.25">
      <c r="B11" s="27" t="s">
        <v>3</v>
      </c>
      <c r="C11" s="27" t="s">
        <v>4</v>
      </c>
      <c r="D11" s="27" t="s">
        <v>5</v>
      </c>
      <c r="E11" s="27" t="s">
        <v>6</v>
      </c>
      <c r="F11" s="25" t="s">
        <v>7</v>
      </c>
      <c r="G11" s="26" t="s">
        <v>8</v>
      </c>
      <c r="H11" s="26"/>
      <c r="I11" s="26"/>
      <c r="J11" s="26"/>
    </row>
    <row r="12" spans="2:10" ht="19.350000000000001" customHeight="1" x14ac:dyDescent="0.25">
      <c r="B12" s="27"/>
      <c r="C12" s="27"/>
      <c r="D12" s="27"/>
      <c r="E12" s="27"/>
      <c r="F12" s="25"/>
      <c r="G12" s="5" t="s">
        <v>9</v>
      </c>
      <c r="H12" s="5" t="s">
        <v>10</v>
      </c>
      <c r="I12" s="5" t="s">
        <v>11</v>
      </c>
      <c r="J12" s="5" t="s">
        <v>12</v>
      </c>
    </row>
    <row r="13" spans="2:10" s="23" customFormat="1" x14ac:dyDescent="0.25">
      <c r="B13" s="22" t="str">
        <f t="shared" ref="B13:J13" si="3">"("&amp;COLUMN()-COLUMN($A$13)&amp;")"</f>
        <v>(1)</v>
      </c>
      <c r="C13" s="22" t="str">
        <f t="shared" si="3"/>
        <v>(2)</v>
      </c>
      <c r="D13" s="22" t="str">
        <f t="shared" si="3"/>
        <v>(3)</v>
      </c>
      <c r="E13" s="22" t="str">
        <f t="shared" si="3"/>
        <v>(4)</v>
      </c>
      <c r="F13" s="22" t="str">
        <f t="shared" si="3"/>
        <v>(5)</v>
      </c>
      <c r="G13" s="22" t="str">
        <f t="shared" si="3"/>
        <v>(6)</v>
      </c>
      <c r="H13" s="22" t="str">
        <f t="shared" si="3"/>
        <v>(7)</v>
      </c>
      <c r="I13" s="22" t="str">
        <f t="shared" si="3"/>
        <v>(8)</v>
      </c>
      <c r="J13" s="22" t="str">
        <f t="shared" si="3"/>
        <v>(9)</v>
      </c>
    </row>
    <row r="14" spans="2:10" ht="51" x14ac:dyDescent="0.25">
      <c r="B14" s="1">
        <f>ROW()-ROW($B$13)</f>
        <v>1</v>
      </c>
      <c r="C14" s="24">
        <v>1</v>
      </c>
      <c r="D14" s="3" t="s">
        <v>13</v>
      </c>
      <c r="E14" s="2">
        <v>1</v>
      </c>
      <c r="F14" s="4" t="s">
        <v>14</v>
      </c>
      <c r="G14" s="8" t="s">
        <v>15</v>
      </c>
      <c r="H14" s="6" t="s">
        <v>16</v>
      </c>
      <c r="I14" s="6" t="s">
        <v>17</v>
      </c>
      <c r="J14" s="6" t="s">
        <v>18</v>
      </c>
    </row>
    <row r="15" spans="2:10" ht="51" x14ac:dyDescent="0.25">
      <c r="B15" s="1">
        <f t="shared" ref="B15:B28" si="4">ROW()-ROW($B$13)</f>
        <v>2</v>
      </c>
      <c r="C15" s="24">
        <v>1</v>
      </c>
      <c r="D15" s="3" t="s">
        <v>13</v>
      </c>
      <c r="E15" s="2">
        <v>1</v>
      </c>
      <c r="F15" s="4" t="s">
        <v>19</v>
      </c>
      <c r="G15" s="9" t="s">
        <v>20</v>
      </c>
      <c r="H15" s="3" t="s">
        <v>21</v>
      </c>
      <c r="I15" s="3" t="s">
        <v>22</v>
      </c>
      <c r="J15" s="3" t="s">
        <v>23</v>
      </c>
    </row>
    <row r="16" spans="2:10" ht="51" x14ac:dyDescent="0.25">
      <c r="B16" s="1">
        <f t="shared" si="4"/>
        <v>3</v>
      </c>
      <c r="C16" s="24">
        <v>1</v>
      </c>
      <c r="D16" s="3" t="s">
        <v>13</v>
      </c>
      <c r="E16" s="2">
        <v>1</v>
      </c>
      <c r="F16" s="4" t="s">
        <v>24</v>
      </c>
      <c r="G16" s="9" t="s">
        <v>25</v>
      </c>
      <c r="H16" s="3" t="s">
        <v>26</v>
      </c>
      <c r="I16" s="3" t="s">
        <v>27</v>
      </c>
      <c r="J16" s="3" t="s">
        <v>28</v>
      </c>
    </row>
    <row r="17" spans="2:10" ht="51" x14ac:dyDescent="0.25">
      <c r="B17" s="1">
        <f t="shared" si="4"/>
        <v>4</v>
      </c>
      <c r="C17" s="24">
        <v>1</v>
      </c>
      <c r="D17" s="3" t="s">
        <v>13</v>
      </c>
      <c r="E17" s="2">
        <v>1</v>
      </c>
      <c r="F17" s="4" t="s">
        <v>29</v>
      </c>
      <c r="G17" s="9" t="s">
        <v>30</v>
      </c>
      <c r="H17" s="3" t="s">
        <v>31</v>
      </c>
      <c r="I17" s="3" t="s">
        <v>32</v>
      </c>
      <c r="J17" s="3" t="s">
        <v>33</v>
      </c>
    </row>
    <row r="18" spans="2:10" ht="51" x14ac:dyDescent="0.25">
      <c r="B18" s="1">
        <f t="shared" si="4"/>
        <v>5</v>
      </c>
      <c r="C18" s="24">
        <v>1</v>
      </c>
      <c r="D18" s="3" t="s">
        <v>13</v>
      </c>
      <c r="E18" s="2">
        <v>2</v>
      </c>
      <c r="F18" s="4" t="s">
        <v>34</v>
      </c>
      <c r="G18" s="9" t="s">
        <v>35</v>
      </c>
      <c r="H18" s="3" t="s">
        <v>36</v>
      </c>
      <c r="I18" s="3" t="s">
        <v>37</v>
      </c>
      <c r="J18" s="3" t="s">
        <v>38</v>
      </c>
    </row>
    <row r="19" spans="2:10" ht="51" x14ac:dyDescent="0.25">
      <c r="B19" s="1">
        <f t="shared" si="4"/>
        <v>6</v>
      </c>
      <c r="C19" s="24">
        <v>1</v>
      </c>
      <c r="D19" s="3" t="s">
        <v>13</v>
      </c>
      <c r="E19" s="2">
        <v>2</v>
      </c>
      <c r="F19" s="4" t="s">
        <v>39</v>
      </c>
      <c r="G19" s="9" t="s">
        <v>40</v>
      </c>
      <c r="H19" s="3" t="s">
        <v>41</v>
      </c>
      <c r="I19" s="3" t="s">
        <v>42</v>
      </c>
      <c r="J19" s="3" t="s">
        <v>43</v>
      </c>
    </row>
    <row r="20" spans="2:10" ht="51" x14ac:dyDescent="0.25">
      <c r="B20" s="1">
        <f t="shared" si="4"/>
        <v>7</v>
      </c>
      <c r="C20" s="24">
        <v>1</v>
      </c>
      <c r="D20" s="3" t="s">
        <v>13</v>
      </c>
      <c r="E20" s="2">
        <v>2</v>
      </c>
      <c r="F20" s="4" t="s">
        <v>44</v>
      </c>
      <c r="G20" s="10" t="s">
        <v>45</v>
      </c>
      <c r="H20" s="7" t="s">
        <v>46</v>
      </c>
      <c r="I20" s="7" t="s">
        <v>47</v>
      </c>
      <c r="J20" s="7" t="s">
        <v>48</v>
      </c>
    </row>
    <row r="21" spans="2:10" ht="51" x14ac:dyDescent="0.25">
      <c r="B21" s="1">
        <f t="shared" si="4"/>
        <v>8</v>
      </c>
      <c r="C21" s="24">
        <v>1</v>
      </c>
      <c r="D21" s="3" t="s">
        <v>13</v>
      </c>
      <c r="E21" s="2">
        <v>3</v>
      </c>
      <c r="F21" s="4" t="s">
        <v>49</v>
      </c>
      <c r="G21" s="10" t="s">
        <v>50</v>
      </c>
      <c r="H21" s="7" t="s">
        <v>51</v>
      </c>
      <c r="I21" s="7" t="s">
        <v>52</v>
      </c>
      <c r="J21" s="7" t="s">
        <v>53</v>
      </c>
    </row>
    <row r="22" spans="2:10" ht="51" x14ac:dyDescent="0.25">
      <c r="B22" s="1">
        <f t="shared" si="4"/>
        <v>9</v>
      </c>
      <c r="C22" s="24">
        <v>1</v>
      </c>
      <c r="D22" s="3" t="s">
        <v>13</v>
      </c>
      <c r="E22" s="2">
        <v>3</v>
      </c>
      <c r="F22" s="4" t="s">
        <v>54</v>
      </c>
      <c r="G22" s="9" t="s">
        <v>55</v>
      </c>
      <c r="H22" s="3" t="s">
        <v>56</v>
      </c>
      <c r="I22" s="3" t="s">
        <v>57</v>
      </c>
      <c r="J22" s="3" t="s">
        <v>58</v>
      </c>
    </row>
    <row r="23" spans="2:10" ht="51" x14ac:dyDescent="0.25">
      <c r="B23" s="1">
        <f t="shared" si="4"/>
        <v>10</v>
      </c>
      <c r="C23" s="24">
        <v>1</v>
      </c>
      <c r="D23" s="3" t="s">
        <v>13</v>
      </c>
      <c r="E23" s="2">
        <v>4</v>
      </c>
      <c r="F23" s="4" t="s">
        <v>59</v>
      </c>
      <c r="G23" s="9" t="s">
        <v>60</v>
      </c>
      <c r="H23" s="3" t="s">
        <v>61</v>
      </c>
      <c r="I23" s="3" t="s">
        <v>62</v>
      </c>
      <c r="J23" s="3" t="s">
        <v>63</v>
      </c>
    </row>
    <row r="24" spans="2:10" ht="51" x14ac:dyDescent="0.25">
      <c r="B24" s="1">
        <f t="shared" si="4"/>
        <v>11</v>
      </c>
      <c r="C24" s="24">
        <v>1</v>
      </c>
      <c r="D24" s="3" t="s">
        <v>13</v>
      </c>
      <c r="E24" s="2">
        <v>4</v>
      </c>
      <c r="F24" s="4" t="s">
        <v>64</v>
      </c>
      <c r="G24" s="9" t="s">
        <v>65</v>
      </c>
      <c r="H24" s="3" t="s">
        <v>66</v>
      </c>
      <c r="I24" s="3" t="s">
        <v>67</v>
      </c>
      <c r="J24" s="3" t="s">
        <v>68</v>
      </c>
    </row>
    <row r="25" spans="2:10" ht="63.75" x14ac:dyDescent="0.25">
      <c r="B25" s="1">
        <f t="shared" si="4"/>
        <v>12</v>
      </c>
      <c r="C25" s="24">
        <v>2</v>
      </c>
      <c r="D25" s="3" t="s">
        <v>69</v>
      </c>
      <c r="E25" s="2">
        <v>1</v>
      </c>
      <c r="F25" s="4" t="s">
        <v>70</v>
      </c>
      <c r="G25" s="9" t="s">
        <v>71</v>
      </c>
      <c r="H25" s="3" t="s">
        <v>72</v>
      </c>
      <c r="I25" s="3" t="s">
        <v>73</v>
      </c>
      <c r="J25" s="3" t="s">
        <v>74</v>
      </c>
    </row>
    <row r="26" spans="2:10" ht="63.75" x14ac:dyDescent="0.25">
      <c r="B26" s="1">
        <f t="shared" si="4"/>
        <v>13</v>
      </c>
      <c r="C26" s="24">
        <v>2</v>
      </c>
      <c r="D26" s="3" t="s">
        <v>69</v>
      </c>
      <c r="E26" s="2">
        <v>1</v>
      </c>
      <c r="F26" s="4" t="s">
        <v>75</v>
      </c>
      <c r="G26" s="8" t="s">
        <v>76</v>
      </c>
      <c r="H26" s="6" t="s">
        <v>77</v>
      </c>
      <c r="I26" s="6" t="s">
        <v>78</v>
      </c>
      <c r="J26" s="6" t="s">
        <v>79</v>
      </c>
    </row>
    <row r="27" spans="2:10" ht="63.75" x14ac:dyDescent="0.25">
      <c r="B27" s="1">
        <f t="shared" si="4"/>
        <v>14</v>
      </c>
      <c r="C27" s="24">
        <v>2</v>
      </c>
      <c r="D27" s="3" t="s">
        <v>69</v>
      </c>
      <c r="E27" s="2">
        <v>1</v>
      </c>
      <c r="F27" s="4" t="s">
        <v>80</v>
      </c>
      <c r="G27" s="9" t="s">
        <v>81</v>
      </c>
      <c r="H27" s="3" t="s">
        <v>82</v>
      </c>
      <c r="I27" s="3" t="s">
        <v>83</v>
      </c>
      <c r="J27" s="3" t="s">
        <v>84</v>
      </c>
    </row>
    <row r="28" spans="2:10" ht="63.75" x14ac:dyDescent="0.25">
      <c r="B28" s="1">
        <f t="shared" si="4"/>
        <v>15</v>
      </c>
      <c r="C28" s="24">
        <v>2</v>
      </c>
      <c r="D28" s="3" t="s">
        <v>69</v>
      </c>
      <c r="E28" s="2">
        <v>1</v>
      </c>
      <c r="F28" s="4" t="s">
        <v>85</v>
      </c>
      <c r="G28" s="9" t="s">
        <v>86</v>
      </c>
      <c r="H28" s="3" t="s">
        <v>87</v>
      </c>
      <c r="I28" s="3" t="s">
        <v>88</v>
      </c>
      <c r="J28" s="3" t="s">
        <v>89</v>
      </c>
    </row>
    <row r="29" spans="2:10" ht="63.75" x14ac:dyDescent="0.25">
      <c r="B29" s="1">
        <f>ROW()-ROW($B$13)</f>
        <v>16</v>
      </c>
      <c r="C29" s="24">
        <v>2</v>
      </c>
      <c r="D29" s="3" t="s">
        <v>69</v>
      </c>
      <c r="E29" s="2">
        <v>2</v>
      </c>
      <c r="F29" s="4" t="s">
        <v>90</v>
      </c>
      <c r="G29" s="8" t="s">
        <v>91</v>
      </c>
      <c r="H29" s="6" t="s">
        <v>92</v>
      </c>
      <c r="I29" s="6" t="s">
        <v>93</v>
      </c>
      <c r="J29" s="6" t="s">
        <v>94</v>
      </c>
    </row>
    <row r="30" spans="2:10" ht="63.75" x14ac:dyDescent="0.25">
      <c r="B30" s="1">
        <f t="shared" ref="B30:B43" si="5">ROW()-ROW($B$13)</f>
        <v>17</v>
      </c>
      <c r="C30" s="24">
        <v>2</v>
      </c>
      <c r="D30" s="3" t="s">
        <v>69</v>
      </c>
      <c r="E30" s="2">
        <v>2</v>
      </c>
      <c r="F30" s="4" t="s">
        <v>95</v>
      </c>
      <c r="G30" s="9" t="s">
        <v>96</v>
      </c>
      <c r="H30" s="3" t="s">
        <v>97</v>
      </c>
      <c r="I30" s="3" t="s">
        <v>98</v>
      </c>
      <c r="J30" s="3" t="s">
        <v>99</v>
      </c>
    </row>
    <row r="31" spans="2:10" ht="63.75" x14ac:dyDescent="0.25">
      <c r="B31" s="1">
        <f t="shared" si="5"/>
        <v>18</v>
      </c>
      <c r="C31" s="24">
        <v>2</v>
      </c>
      <c r="D31" s="3" t="s">
        <v>69</v>
      </c>
      <c r="E31" s="2">
        <v>3</v>
      </c>
      <c r="F31" s="4" t="s">
        <v>100</v>
      </c>
      <c r="G31" s="9" t="s">
        <v>101</v>
      </c>
      <c r="H31" s="3" t="s">
        <v>102</v>
      </c>
      <c r="I31" s="3" t="s">
        <v>103</v>
      </c>
      <c r="J31" s="3" t="s">
        <v>104</v>
      </c>
    </row>
    <row r="32" spans="2:10" ht="63.75" x14ac:dyDescent="0.25">
      <c r="B32" s="1">
        <f t="shared" si="5"/>
        <v>19</v>
      </c>
      <c r="C32" s="24">
        <v>2</v>
      </c>
      <c r="D32" s="3" t="s">
        <v>69</v>
      </c>
      <c r="E32" s="2">
        <v>3</v>
      </c>
      <c r="F32" s="4" t="s">
        <v>105</v>
      </c>
      <c r="G32" s="9" t="s">
        <v>106</v>
      </c>
      <c r="H32" s="3" t="s">
        <v>107</v>
      </c>
      <c r="I32" s="3" t="s">
        <v>108</v>
      </c>
      <c r="J32" s="3" t="s">
        <v>109</v>
      </c>
    </row>
    <row r="33" spans="2:10" ht="318.75" x14ac:dyDescent="0.25">
      <c r="B33" s="1">
        <f t="shared" si="5"/>
        <v>20</v>
      </c>
      <c r="C33" s="24">
        <v>2</v>
      </c>
      <c r="D33" s="3" t="s">
        <v>69</v>
      </c>
      <c r="E33" s="2">
        <v>4</v>
      </c>
      <c r="F33" s="4" t="s">
        <v>110</v>
      </c>
      <c r="G33" s="10" t="s">
        <v>111</v>
      </c>
      <c r="H33" s="7" t="s">
        <v>112</v>
      </c>
      <c r="I33" s="7" t="s">
        <v>113</v>
      </c>
      <c r="J33" s="7" t="s">
        <v>114</v>
      </c>
    </row>
    <row r="34" spans="2:10" ht="306" x14ac:dyDescent="0.25">
      <c r="B34" s="1">
        <f t="shared" si="5"/>
        <v>21</v>
      </c>
      <c r="C34" s="24">
        <v>2</v>
      </c>
      <c r="D34" s="3" t="s">
        <v>69</v>
      </c>
      <c r="E34" s="2">
        <v>4</v>
      </c>
      <c r="F34" s="4" t="s">
        <v>115</v>
      </c>
      <c r="G34" s="10" t="s">
        <v>116</v>
      </c>
      <c r="H34" s="7" t="s">
        <v>117</v>
      </c>
      <c r="I34" s="7" t="s">
        <v>118</v>
      </c>
      <c r="J34" s="7" t="s">
        <v>119</v>
      </c>
    </row>
    <row r="35" spans="2:10" ht="63.75" x14ac:dyDescent="0.25">
      <c r="B35" s="1">
        <f t="shared" si="5"/>
        <v>22</v>
      </c>
      <c r="C35" s="24">
        <v>3</v>
      </c>
      <c r="D35" s="3" t="s">
        <v>120</v>
      </c>
      <c r="E35" s="2">
        <v>1</v>
      </c>
      <c r="F35" s="4" t="s">
        <v>121</v>
      </c>
      <c r="G35" s="10" t="s">
        <v>122</v>
      </c>
      <c r="H35" s="7" t="s">
        <v>123</v>
      </c>
      <c r="I35" s="7" t="s">
        <v>124</v>
      </c>
      <c r="J35" s="7" t="s">
        <v>125</v>
      </c>
    </row>
    <row r="36" spans="2:10" ht="63.75" x14ac:dyDescent="0.25">
      <c r="B36" s="1">
        <f t="shared" si="5"/>
        <v>23</v>
      </c>
      <c r="C36" s="24">
        <v>3</v>
      </c>
      <c r="D36" s="3" t="s">
        <v>120</v>
      </c>
      <c r="E36" s="2">
        <v>1</v>
      </c>
      <c r="F36" s="4" t="s">
        <v>126</v>
      </c>
      <c r="G36" s="9" t="s">
        <v>127</v>
      </c>
      <c r="H36" s="3" t="s">
        <v>128</v>
      </c>
      <c r="I36" s="3" t="s">
        <v>129</v>
      </c>
      <c r="J36" s="3" t="s">
        <v>130</v>
      </c>
    </row>
    <row r="37" spans="2:10" ht="63.75" x14ac:dyDescent="0.25">
      <c r="B37" s="1">
        <f t="shared" si="5"/>
        <v>24</v>
      </c>
      <c r="C37" s="24">
        <v>3</v>
      </c>
      <c r="D37" s="3" t="s">
        <v>120</v>
      </c>
      <c r="E37" s="2">
        <v>1</v>
      </c>
      <c r="F37" s="4" t="s">
        <v>131</v>
      </c>
      <c r="G37" s="9" t="s">
        <v>132</v>
      </c>
      <c r="H37" s="3" t="s">
        <v>72</v>
      </c>
      <c r="I37" s="3" t="s">
        <v>133</v>
      </c>
      <c r="J37" s="3" t="s">
        <v>73</v>
      </c>
    </row>
    <row r="38" spans="2:10" ht="63.75" x14ac:dyDescent="0.25">
      <c r="B38" s="1">
        <f t="shared" si="5"/>
        <v>25</v>
      </c>
      <c r="C38" s="24">
        <v>3</v>
      </c>
      <c r="D38" s="3" t="s">
        <v>120</v>
      </c>
      <c r="E38" s="2">
        <v>1</v>
      </c>
      <c r="F38" s="4" t="s">
        <v>134</v>
      </c>
      <c r="G38" s="9" t="s">
        <v>135</v>
      </c>
      <c r="H38" s="3" t="s">
        <v>136</v>
      </c>
      <c r="I38" s="3" t="s">
        <v>137</v>
      </c>
      <c r="J38" s="3" t="s">
        <v>138</v>
      </c>
    </row>
    <row r="39" spans="2:10" ht="63.75" x14ac:dyDescent="0.25">
      <c r="B39" s="1">
        <f t="shared" si="5"/>
        <v>26</v>
      </c>
      <c r="C39" s="24">
        <v>3</v>
      </c>
      <c r="D39" s="3" t="s">
        <v>120</v>
      </c>
      <c r="E39" s="2">
        <v>2</v>
      </c>
      <c r="F39" s="4" t="s">
        <v>139</v>
      </c>
      <c r="G39" s="9" t="s">
        <v>140</v>
      </c>
      <c r="H39" s="3" t="s">
        <v>141</v>
      </c>
      <c r="I39" s="3" t="s">
        <v>142</v>
      </c>
      <c r="J39" s="3" t="s">
        <v>143</v>
      </c>
    </row>
    <row r="40" spans="2:10" ht="63.75" x14ac:dyDescent="0.25">
      <c r="B40" s="1">
        <f t="shared" si="5"/>
        <v>27</v>
      </c>
      <c r="C40" s="24">
        <v>3</v>
      </c>
      <c r="D40" s="3" t="s">
        <v>120</v>
      </c>
      <c r="E40" s="2">
        <v>2</v>
      </c>
      <c r="F40" s="4" t="s">
        <v>144</v>
      </c>
      <c r="G40" s="9" t="s">
        <v>145</v>
      </c>
      <c r="H40" s="3" t="s">
        <v>146</v>
      </c>
      <c r="I40" s="3" t="s">
        <v>147</v>
      </c>
      <c r="J40" s="3" t="s">
        <v>148</v>
      </c>
    </row>
    <row r="41" spans="2:10" ht="63.75" x14ac:dyDescent="0.25">
      <c r="B41" s="1">
        <f t="shared" si="5"/>
        <v>28</v>
      </c>
      <c r="C41" s="24">
        <v>3</v>
      </c>
      <c r="D41" s="3" t="s">
        <v>120</v>
      </c>
      <c r="E41" s="2">
        <v>2</v>
      </c>
      <c r="F41" s="4" t="s">
        <v>149</v>
      </c>
      <c r="G41" s="9" t="s">
        <v>150</v>
      </c>
      <c r="H41" s="3" t="s">
        <v>151</v>
      </c>
      <c r="I41" s="3" t="s">
        <v>152</v>
      </c>
      <c r="J41" s="3" t="s">
        <v>153</v>
      </c>
    </row>
    <row r="42" spans="2:10" ht="63.75" x14ac:dyDescent="0.25">
      <c r="B42" s="1">
        <f t="shared" si="5"/>
        <v>29</v>
      </c>
      <c r="C42" s="24">
        <v>3</v>
      </c>
      <c r="D42" s="3" t="s">
        <v>120</v>
      </c>
      <c r="E42" s="2">
        <v>2</v>
      </c>
      <c r="F42" s="4" t="s">
        <v>154</v>
      </c>
      <c r="G42" s="8" t="s">
        <v>155</v>
      </c>
      <c r="H42" s="6" t="s">
        <v>156</v>
      </c>
      <c r="I42" s="6" t="s">
        <v>157</v>
      </c>
      <c r="J42" s="6" t="s">
        <v>158</v>
      </c>
    </row>
    <row r="43" spans="2:10" ht="293.25" x14ac:dyDescent="0.25">
      <c r="B43" s="1">
        <f t="shared" si="5"/>
        <v>30</v>
      </c>
      <c r="C43" s="24">
        <v>3</v>
      </c>
      <c r="D43" s="3" t="s">
        <v>120</v>
      </c>
      <c r="E43" s="2">
        <v>3</v>
      </c>
      <c r="F43" s="4" t="s">
        <v>159</v>
      </c>
      <c r="G43" s="9" t="s">
        <v>160</v>
      </c>
      <c r="H43" s="3" t="s">
        <v>161</v>
      </c>
      <c r="I43" s="3" t="s">
        <v>162</v>
      </c>
      <c r="J43" s="3" t="s">
        <v>163</v>
      </c>
    </row>
    <row r="44" spans="2:10" ht="267.75" x14ac:dyDescent="0.25">
      <c r="B44" s="1">
        <f t="shared" ref="B44:B46" si="6">ROW()-ROW($B$13)</f>
        <v>31</v>
      </c>
      <c r="C44" s="24">
        <v>3</v>
      </c>
      <c r="D44" s="3" t="s">
        <v>120</v>
      </c>
      <c r="E44" s="2">
        <v>3</v>
      </c>
      <c r="F44" s="4" t="s">
        <v>164</v>
      </c>
      <c r="G44" s="9" t="s">
        <v>118</v>
      </c>
      <c r="H44" s="3" t="s">
        <v>165</v>
      </c>
      <c r="I44" s="3" t="s">
        <v>166</v>
      </c>
      <c r="J44" s="3" t="s">
        <v>167</v>
      </c>
    </row>
    <row r="45" spans="2:10" ht="255" x14ac:dyDescent="0.25">
      <c r="B45" s="1">
        <f t="shared" si="6"/>
        <v>32</v>
      </c>
      <c r="C45" s="24">
        <v>3</v>
      </c>
      <c r="D45" s="3" t="s">
        <v>120</v>
      </c>
      <c r="E45" s="2">
        <v>4</v>
      </c>
      <c r="F45" s="4" t="s">
        <v>168</v>
      </c>
      <c r="G45" s="9" t="s">
        <v>169</v>
      </c>
      <c r="H45" s="3" t="s">
        <v>170</v>
      </c>
      <c r="I45" s="3" t="s">
        <v>171</v>
      </c>
      <c r="J45" s="3" t="s">
        <v>172</v>
      </c>
    </row>
    <row r="46" spans="2:10" ht="267.75" x14ac:dyDescent="0.25">
      <c r="B46" s="1">
        <f t="shared" si="6"/>
        <v>33</v>
      </c>
      <c r="C46" s="24">
        <v>3</v>
      </c>
      <c r="D46" s="3" t="s">
        <v>120</v>
      </c>
      <c r="E46" s="2">
        <v>4</v>
      </c>
      <c r="F46" s="4" t="s">
        <v>173</v>
      </c>
      <c r="G46" s="9" t="s">
        <v>174</v>
      </c>
      <c r="H46" s="3" t="s">
        <v>175</v>
      </c>
      <c r="I46" s="3" t="s">
        <v>117</v>
      </c>
      <c r="J46" s="3" t="s">
        <v>176</v>
      </c>
    </row>
  </sheetData>
  <autoFilter ref="B13:M70" xr:uid="{B005C0B0-9D89-4729-AC6E-7F1010ED0730}"/>
  <mergeCells count="6">
    <mergeCell ref="F11:F12"/>
    <mergeCell ref="G11:J11"/>
    <mergeCell ref="B11:B12"/>
    <mergeCell ref="C11:C12"/>
    <mergeCell ref="D11:D12"/>
    <mergeCell ref="E11:E12"/>
  </mergeCells>
  <conditionalFormatting sqref="F6:H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88F0-E55F-4E94-BDEB-F152354EC887}">
  <sheetPr filterMode="1">
    <tabColor theme="9" tint="0.59999389629810485"/>
  </sheetPr>
  <dimension ref="B1:J46"/>
  <sheetViews>
    <sheetView showGridLines="0" tabSelected="1" zoomScale="89" zoomScaleNormal="85" workbookViewId="0">
      <selection activeCell="H46" sqref="H46"/>
    </sheetView>
  </sheetViews>
  <sheetFormatPr defaultColWidth="9" defaultRowHeight="12.75" outlineLevelRow="1" x14ac:dyDescent="0.25"/>
  <cols>
    <col min="1" max="1" width="2.85546875" style="20" customWidth="1"/>
    <col min="2" max="2" width="7.85546875" style="19" customWidth="1"/>
    <col min="3" max="3" width="9" style="19"/>
    <col min="4" max="4" width="23.42578125" style="20" customWidth="1"/>
    <col min="5" max="5" width="9" style="19"/>
    <col min="6" max="10" width="45.42578125" style="20" customWidth="1"/>
    <col min="11" max="11" width="9" style="20"/>
    <col min="12" max="12" width="12.5703125" style="20" customWidth="1"/>
    <col min="13" max="16384" width="9" style="20"/>
  </cols>
  <sheetData>
    <row r="1" spans="2:10" s="12" customFormat="1" ht="14.25" x14ac:dyDescent="0.25">
      <c r="B1" s="11"/>
      <c r="C1" s="11"/>
      <c r="E1" s="11"/>
    </row>
    <row r="2" spans="2:10" s="12" customFormat="1" ht="26.25" customHeight="1" x14ac:dyDescent="0.25">
      <c r="B2" s="13" t="s">
        <v>0</v>
      </c>
      <c r="C2" s="11"/>
      <c r="E2" s="11"/>
    </row>
    <row r="3" spans="2:10" s="12" customFormat="1" ht="10.35" customHeight="1" x14ac:dyDescent="0.25">
      <c r="B3" s="13"/>
      <c r="C3" s="11"/>
      <c r="E3" s="11"/>
    </row>
    <row r="4" spans="2:10" ht="31.5" customHeight="1" outlineLevel="1" x14ac:dyDescent="0.25">
      <c r="B4" s="18"/>
      <c r="D4" s="14" t="s">
        <v>1</v>
      </c>
      <c r="E4" s="15" t="s">
        <v>2</v>
      </c>
      <c r="F4" s="16">
        <v>1</v>
      </c>
      <c r="G4" s="16">
        <v>2</v>
      </c>
      <c r="H4" s="16">
        <v>3</v>
      </c>
    </row>
    <row r="5" spans="2:10" ht="20.100000000000001" customHeight="1" outlineLevel="1" x14ac:dyDescent="0.25">
      <c r="B5" s="18"/>
      <c r="D5" s="15" t="s">
        <v>2</v>
      </c>
      <c r="E5" s="15">
        <f>SUM(E6:E9)</f>
        <v>33</v>
      </c>
      <c r="F5" s="21">
        <f>SUM(F6:F9)</f>
        <v>11</v>
      </c>
      <c r="G5" s="21">
        <f t="shared" ref="G5:H5" si="0">SUM(G6:G9)</f>
        <v>10</v>
      </c>
      <c r="H5" s="21">
        <f t="shared" si="0"/>
        <v>12</v>
      </c>
    </row>
    <row r="6" spans="2:10" ht="20.100000000000001" customHeight="1" outlineLevel="1" x14ac:dyDescent="0.25">
      <c r="B6" s="18"/>
      <c r="D6" s="16">
        <v>1</v>
      </c>
      <c r="E6" s="21">
        <f>SUM(F6:H6)</f>
        <v>12</v>
      </c>
      <c r="F6" s="17">
        <f t="shared" ref="F6:H9" si="1">COUNTIFS($E$13:$E$133,$D6,$C$13:$C$133,F$4)</f>
        <v>4</v>
      </c>
      <c r="G6" s="17">
        <f t="shared" si="1"/>
        <v>4</v>
      </c>
      <c r="H6" s="17">
        <f t="shared" si="1"/>
        <v>4</v>
      </c>
    </row>
    <row r="7" spans="2:10" ht="20.100000000000001" customHeight="1" outlineLevel="1" x14ac:dyDescent="0.25">
      <c r="B7" s="18"/>
      <c r="D7" s="16">
        <v>2</v>
      </c>
      <c r="E7" s="21">
        <f t="shared" ref="E7:E9" si="2">SUM(F7:H7)</f>
        <v>9</v>
      </c>
      <c r="F7" s="17">
        <f t="shared" si="1"/>
        <v>3</v>
      </c>
      <c r="G7" s="17">
        <f t="shared" si="1"/>
        <v>2</v>
      </c>
      <c r="H7" s="17">
        <f t="shared" si="1"/>
        <v>4</v>
      </c>
    </row>
    <row r="8" spans="2:10" ht="20.100000000000001" customHeight="1" outlineLevel="1" x14ac:dyDescent="0.25">
      <c r="B8" s="18"/>
      <c r="D8" s="16">
        <v>3</v>
      </c>
      <c r="E8" s="21">
        <f t="shared" si="2"/>
        <v>6</v>
      </c>
      <c r="F8" s="17">
        <f t="shared" si="1"/>
        <v>2</v>
      </c>
      <c r="G8" s="17">
        <f t="shared" si="1"/>
        <v>2</v>
      </c>
      <c r="H8" s="17">
        <f t="shared" si="1"/>
        <v>2</v>
      </c>
    </row>
    <row r="9" spans="2:10" ht="20.100000000000001" customHeight="1" outlineLevel="1" x14ac:dyDescent="0.25">
      <c r="B9" s="18"/>
      <c r="D9" s="16">
        <v>4</v>
      </c>
      <c r="E9" s="21">
        <f t="shared" si="2"/>
        <v>6</v>
      </c>
      <c r="F9" s="17">
        <f t="shared" si="1"/>
        <v>2</v>
      </c>
      <c r="G9" s="17">
        <f t="shared" si="1"/>
        <v>2</v>
      </c>
      <c r="H9" s="17">
        <f t="shared" si="1"/>
        <v>2</v>
      </c>
    </row>
    <row r="10" spans="2:10" ht="6.75" customHeight="1" x14ac:dyDescent="0.25"/>
    <row r="11" spans="2:10" ht="19.350000000000001" customHeight="1" x14ac:dyDescent="0.25">
      <c r="B11" s="27" t="s">
        <v>3</v>
      </c>
      <c r="C11" s="27" t="s">
        <v>4</v>
      </c>
      <c r="D11" s="27" t="s">
        <v>5</v>
      </c>
      <c r="E11" s="27" t="s">
        <v>6</v>
      </c>
      <c r="F11" s="25" t="s">
        <v>7</v>
      </c>
      <c r="G11" s="26" t="s">
        <v>8</v>
      </c>
      <c r="H11" s="26"/>
      <c r="I11" s="26"/>
      <c r="J11" s="26"/>
    </row>
    <row r="12" spans="2:10" ht="19.350000000000001" customHeight="1" x14ac:dyDescent="0.25">
      <c r="B12" s="27"/>
      <c r="C12" s="27"/>
      <c r="D12" s="27"/>
      <c r="E12" s="27"/>
      <c r="F12" s="25"/>
      <c r="G12" s="5" t="s">
        <v>9</v>
      </c>
      <c r="H12" s="5" t="s">
        <v>10</v>
      </c>
      <c r="I12" s="5" t="s">
        <v>11</v>
      </c>
      <c r="J12" s="5" t="s">
        <v>12</v>
      </c>
    </row>
    <row r="13" spans="2:10" s="23" customFormat="1" x14ac:dyDescent="0.25">
      <c r="B13" s="22" t="str">
        <f t="shared" ref="B13:J13" si="3">"("&amp;COLUMN()-COLUMN($A$13)&amp;")"</f>
        <v>(1)</v>
      </c>
      <c r="C13" s="22" t="str">
        <f t="shared" si="3"/>
        <v>(2)</v>
      </c>
      <c r="D13" s="22" t="str">
        <f t="shared" si="3"/>
        <v>(3)</v>
      </c>
      <c r="E13" s="22" t="str">
        <f t="shared" si="3"/>
        <v>(4)</v>
      </c>
      <c r="F13" s="22" t="str">
        <f t="shared" si="3"/>
        <v>(5)</v>
      </c>
      <c r="G13" s="22" t="str">
        <f t="shared" si="3"/>
        <v>(6)</v>
      </c>
      <c r="H13" s="22" t="str">
        <f t="shared" si="3"/>
        <v>(7)</v>
      </c>
      <c r="I13" s="22" t="str">
        <f t="shared" si="3"/>
        <v>(8)</v>
      </c>
      <c r="J13" s="22" t="str">
        <f t="shared" si="3"/>
        <v>(9)</v>
      </c>
    </row>
    <row r="14" spans="2:10" ht="51" x14ac:dyDescent="0.25">
      <c r="B14" s="1">
        <f>ROW()-ROW($B$13)</f>
        <v>1</v>
      </c>
      <c r="C14" s="24">
        <v>1</v>
      </c>
      <c r="D14" s="3" t="s">
        <v>13</v>
      </c>
      <c r="E14" s="2">
        <v>1</v>
      </c>
      <c r="F14" s="4" t="s">
        <v>14</v>
      </c>
      <c r="G14" s="8" t="s">
        <v>15</v>
      </c>
      <c r="H14" s="6" t="s">
        <v>16</v>
      </c>
      <c r="I14" s="6" t="s">
        <v>17</v>
      </c>
      <c r="J14" s="6" t="s">
        <v>18</v>
      </c>
    </row>
    <row r="15" spans="2:10" ht="51" x14ac:dyDescent="0.25">
      <c r="B15" s="1">
        <f t="shared" ref="B15:B28" si="4">ROW()-ROW($B$13)</f>
        <v>2</v>
      </c>
      <c r="C15" s="24">
        <v>1</v>
      </c>
      <c r="D15" s="3" t="s">
        <v>13</v>
      </c>
      <c r="E15" s="2">
        <v>1</v>
      </c>
      <c r="F15" s="4" t="s">
        <v>19</v>
      </c>
      <c r="G15" s="9" t="s">
        <v>20</v>
      </c>
      <c r="H15" s="3" t="s">
        <v>21</v>
      </c>
      <c r="I15" s="3" t="s">
        <v>22</v>
      </c>
      <c r="J15" s="3" t="s">
        <v>23</v>
      </c>
    </row>
    <row r="16" spans="2:10" ht="51" x14ac:dyDescent="0.25">
      <c r="B16" s="1">
        <f t="shared" si="4"/>
        <v>3</v>
      </c>
      <c r="C16" s="24">
        <v>1</v>
      </c>
      <c r="D16" s="3" t="s">
        <v>13</v>
      </c>
      <c r="E16" s="2">
        <v>1</v>
      </c>
      <c r="F16" s="4" t="s">
        <v>24</v>
      </c>
      <c r="G16" s="9" t="s">
        <v>25</v>
      </c>
      <c r="H16" s="3" t="s">
        <v>26</v>
      </c>
      <c r="I16" s="3" t="s">
        <v>27</v>
      </c>
      <c r="J16" s="3" t="s">
        <v>28</v>
      </c>
    </row>
    <row r="17" spans="2:10" ht="51" x14ac:dyDescent="0.25">
      <c r="B17" s="1">
        <f t="shared" si="4"/>
        <v>4</v>
      </c>
      <c r="C17" s="24">
        <v>1</v>
      </c>
      <c r="D17" s="3" t="s">
        <v>13</v>
      </c>
      <c r="E17" s="2">
        <v>1</v>
      </c>
      <c r="F17" s="4" t="s">
        <v>29</v>
      </c>
      <c r="G17" s="9" t="s">
        <v>30</v>
      </c>
      <c r="H17" s="3" t="s">
        <v>31</v>
      </c>
      <c r="I17" s="3" t="s">
        <v>32</v>
      </c>
      <c r="J17" s="3" t="s">
        <v>33</v>
      </c>
    </row>
    <row r="18" spans="2:10" ht="51" x14ac:dyDescent="0.25">
      <c r="B18" s="1">
        <f t="shared" si="4"/>
        <v>5</v>
      </c>
      <c r="C18" s="24">
        <v>1</v>
      </c>
      <c r="D18" s="3" t="s">
        <v>13</v>
      </c>
      <c r="E18" s="2">
        <v>2</v>
      </c>
      <c r="F18" s="4" t="s">
        <v>34</v>
      </c>
      <c r="G18" s="9" t="s">
        <v>35</v>
      </c>
      <c r="H18" s="3" t="s">
        <v>36</v>
      </c>
      <c r="I18" s="3" t="s">
        <v>37</v>
      </c>
      <c r="J18" s="3" t="s">
        <v>38</v>
      </c>
    </row>
    <row r="19" spans="2:10" ht="63.75" customHeight="1" x14ac:dyDescent="0.25">
      <c r="B19" s="1">
        <f t="shared" si="4"/>
        <v>6</v>
      </c>
      <c r="C19" s="24">
        <v>1</v>
      </c>
      <c r="D19" s="3" t="s">
        <v>13</v>
      </c>
      <c r="E19" s="2">
        <v>2</v>
      </c>
      <c r="F19" s="4" t="s">
        <v>39</v>
      </c>
      <c r="G19" s="9" t="s">
        <v>40</v>
      </c>
      <c r="H19" s="3" t="s">
        <v>41</v>
      </c>
      <c r="I19" s="3" t="s">
        <v>42</v>
      </c>
      <c r="J19" s="3" t="s">
        <v>43</v>
      </c>
    </row>
    <row r="20" spans="2:10" ht="51" x14ac:dyDescent="0.25">
      <c r="B20" s="1">
        <f t="shared" si="4"/>
        <v>7</v>
      </c>
      <c r="C20" s="24">
        <v>1</v>
      </c>
      <c r="D20" s="3" t="s">
        <v>13</v>
      </c>
      <c r="E20" s="2">
        <v>2</v>
      </c>
      <c r="F20" s="4" t="s">
        <v>44</v>
      </c>
      <c r="G20" s="10" t="s">
        <v>45</v>
      </c>
      <c r="H20" s="7" t="s">
        <v>46</v>
      </c>
      <c r="I20" s="7" t="s">
        <v>47</v>
      </c>
      <c r="J20" s="7" t="s">
        <v>48</v>
      </c>
    </row>
    <row r="21" spans="2:10" ht="51" x14ac:dyDescent="0.25">
      <c r="B21" s="1">
        <f t="shared" si="4"/>
        <v>8</v>
      </c>
      <c r="C21" s="24">
        <v>1</v>
      </c>
      <c r="D21" s="3" t="s">
        <v>13</v>
      </c>
      <c r="E21" s="2">
        <v>3</v>
      </c>
      <c r="F21" s="4" t="s">
        <v>49</v>
      </c>
      <c r="G21" s="10" t="s">
        <v>50</v>
      </c>
      <c r="H21" s="7" t="s">
        <v>51</v>
      </c>
      <c r="I21" s="7" t="s">
        <v>52</v>
      </c>
      <c r="J21" s="7" t="s">
        <v>53</v>
      </c>
    </row>
    <row r="22" spans="2:10" ht="51" x14ac:dyDescent="0.25">
      <c r="B22" s="1">
        <f t="shared" si="4"/>
        <v>9</v>
      </c>
      <c r="C22" s="24">
        <v>1</v>
      </c>
      <c r="D22" s="3" t="s">
        <v>13</v>
      </c>
      <c r="E22" s="2">
        <v>3</v>
      </c>
      <c r="F22" s="4" t="s">
        <v>54</v>
      </c>
      <c r="G22" s="9" t="s">
        <v>55</v>
      </c>
      <c r="H22" s="3" t="s">
        <v>56</v>
      </c>
      <c r="I22" s="3" t="s">
        <v>57</v>
      </c>
      <c r="J22" s="3" t="s">
        <v>58</v>
      </c>
    </row>
    <row r="23" spans="2:10" ht="51" hidden="1" x14ac:dyDescent="0.25">
      <c r="B23" s="1">
        <f t="shared" si="4"/>
        <v>10</v>
      </c>
      <c r="C23" s="24">
        <v>1</v>
      </c>
      <c r="D23" s="3" t="s">
        <v>13</v>
      </c>
      <c r="E23" s="2">
        <v>4</v>
      </c>
      <c r="F23" s="4" t="s">
        <v>59</v>
      </c>
      <c r="G23" s="9" t="s">
        <v>60</v>
      </c>
      <c r="H23" s="3" t="s">
        <v>61</v>
      </c>
      <c r="I23" s="3" t="s">
        <v>62</v>
      </c>
      <c r="J23" s="3" t="s">
        <v>63</v>
      </c>
    </row>
    <row r="24" spans="2:10" ht="51" hidden="1" x14ac:dyDescent="0.25">
      <c r="B24" s="1">
        <f t="shared" si="4"/>
        <v>11</v>
      </c>
      <c r="C24" s="24">
        <v>1</v>
      </c>
      <c r="D24" s="3" t="s">
        <v>13</v>
      </c>
      <c r="E24" s="2">
        <v>4</v>
      </c>
      <c r="F24" s="4" t="s">
        <v>64</v>
      </c>
      <c r="G24" s="9" t="s">
        <v>65</v>
      </c>
      <c r="H24" s="3" t="s">
        <v>66</v>
      </c>
      <c r="I24" s="3" t="s">
        <v>67</v>
      </c>
      <c r="J24" s="3" t="s">
        <v>68</v>
      </c>
    </row>
    <row r="25" spans="2:10" ht="63.75" x14ac:dyDescent="0.25">
      <c r="B25" s="1">
        <f t="shared" si="4"/>
        <v>12</v>
      </c>
      <c r="C25" s="24">
        <v>2</v>
      </c>
      <c r="D25" s="3" t="s">
        <v>69</v>
      </c>
      <c r="E25" s="2">
        <v>1</v>
      </c>
      <c r="F25" s="4" t="s">
        <v>70</v>
      </c>
      <c r="G25" s="9" t="s">
        <v>71</v>
      </c>
      <c r="H25" s="3" t="s">
        <v>72</v>
      </c>
      <c r="I25" s="3" t="s">
        <v>73</v>
      </c>
      <c r="J25" s="3" t="s">
        <v>74</v>
      </c>
    </row>
    <row r="26" spans="2:10" ht="63.75" x14ac:dyDescent="0.25">
      <c r="B26" s="1">
        <f t="shared" si="4"/>
        <v>13</v>
      </c>
      <c r="C26" s="24">
        <v>2</v>
      </c>
      <c r="D26" s="3" t="s">
        <v>69</v>
      </c>
      <c r="E26" s="2">
        <v>1</v>
      </c>
      <c r="F26" s="4" t="s">
        <v>75</v>
      </c>
      <c r="G26" s="8" t="s">
        <v>76</v>
      </c>
      <c r="H26" s="6" t="s">
        <v>77</v>
      </c>
      <c r="I26" s="6" t="s">
        <v>78</v>
      </c>
      <c r="J26" s="6" t="s">
        <v>79</v>
      </c>
    </row>
    <row r="27" spans="2:10" ht="63.75" x14ac:dyDescent="0.25">
      <c r="B27" s="1">
        <f t="shared" si="4"/>
        <v>14</v>
      </c>
      <c r="C27" s="24">
        <v>2</v>
      </c>
      <c r="D27" s="3" t="s">
        <v>69</v>
      </c>
      <c r="E27" s="2">
        <v>1</v>
      </c>
      <c r="F27" s="4" t="s">
        <v>80</v>
      </c>
      <c r="G27" s="9" t="s">
        <v>81</v>
      </c>
      <c r="H27" s="3" t="s">
        <v>82</v>
      </c>
      <c r="I27" s="3" t="s">
        <v>83</v>
      </c>
      <c r="J27" s="3" t="s">
        <v>84</v>
      </c>
    </row>
    <row r="28" spans="2:10" ht="63.75" x14ac:dyDescent="0.25">
      <c r="B28" s="1">
        <f t="shared" si="4"/>
        <v>15</v>
      </c>
      <c r="C28" s="24">
        <v>2</v>
      </c>
      <c r="D28" s="3" t="s">
        <v>69</v>
      </c>
      <c r="E28" s="2">
        <v>1</v>
      </c>
      <c r="F28" s="4" t="s">
        <v>85</v>
      </c>
      <c r="G28" s="9" t="s">
        <v>86</v>
      </c>
      <c r="H28" s="3" t="s">
        <v>87</v>
      </c>
      <c r="I28" s="3" t="s">
        <v>88</v>
      </c>
      <c r="J28" s="3" t="s">
        <v>89</v>
      </c>
    </row>
    <row r="29" spans="2:10" ht="63.75" x14ac:dyDescent="0.25">
      <c r="B29" s="1">
        <f>ROW()-ROW($B$13)</f>
        <v>16</v>
      </c>
      <c r="C29" s="24">
        <v>2</v>
      </c>
      <c r="D29" s="3" t="s">
        <v>69</v>
      </c>
      <c r="E29" s="2">
        <v>2</v>
      </c>
      <c r="F29" s="4" t="s">
        <v>90</v>
      </c>
      <c r="G29" s="8" t="s">
        <v>91</v>
      </c>
      <c r="H29" s="6" t="s">
        <v>92</v>
      </c>
      <c r="I29" s="6" t="s">
        <v>93</v>
      </c>
      <c r="J29" s="6" t="s">
        <v>94</v>
      </c>
    </row>
    <row r="30" spans="2:10" ht="63.75" x14ac:dyDescent="0.25">
      <c r="B30" s="1">
        <f t="shared" ref="B30:B46" si="5">ROW()-ROW($B$13)</f>
        <v>17</v>
      </c>
      <c r="C30" s="24">
        <v>2</v>
      </c>
      <c r="D30" s="3" t="s">
        <v>69</v>
      </c>
      <c r="E30" s="2">
        <v>2</v>
      </c>
      <c r="F30" s="4" t="s">
        <v>95</v>
      </c>
      <c r="G30" s="9" t="s">
        <v>96</v>
      </c>
      <c r="H30" s="3" t="s">
        <v>97</v>
      </c>
      <c r="I30" s="3" t="s">
        <v>98</v>
      </c>
      <c r="J30" s="3" t="s">
        <v>99</v>
      </c>
    </row>
    <row r="31" spans="2:10" ht="63.75" x14ac:dyDescent="0.25">
      <c r="B31" s="1">
        <f t="shared" si="5"/>
        <v>18</v>
      </c>
      <c r="C31" s="24">
        <v>2</v>
      </c>
      <c r="D31" s="3" t="s">
        <v>69</v>
      </c>
      <c r="E31" s="2">
        <v>3</v>
      </c>
      <c r="F31" s="4" t="s">
        <v>100</v>
      </c>
      <c r="G31" s="9" t="s">
        <v>101</v>
      </c>
      <c r="H31" s="3" t="s">
        <v>102</v>
      </c>
      <c r="I31" s="3" t="s">
        <v>103</v>
      </c>
      <c r="J31" s="3" t="s">
        <v>104</v>
      </c>
    </row>
    <row r="32" spans="2:10" ht="63.75" x14ac:dyDescent="0.25">
      <c r="B32" s="1">
        <f t="shared" si="5"/>
        <v>19</v>
      </c>
      <c r="C32" s="24">
        <v>2</v>
      </c>
      <c r="D32" s="3" t="s">
        <v>69</v>
      </c>
      <c r="E32" s="2">
        <v>3</v>
      </c>
      <c r="F32" s="4" t="s">
        <v>105</v>
      </c>
      <c r="G32" s="9" t="s">
        <v>106</v>
      </c>
      <c r="H32" s="3" t="s">
        <v>107</v>
      </c>
      <c r="I32" s="3" t="s">
        <v>108</v>
      </c>
      <c r="J32" s="3" t="s">
        <v>109</v>
      </c>
    </row>
    <row r="33" spans="2:10" ht="318.75" hidden="1" x14ac:dyDescent="0.25">
      <c r="B33" s="1">
        <f t="shared" si="5"/>
        <v>20</v>
      </c>
      <c r="C33" s="24">
        <v>2</v>
      </c>
      <c r="D33" s="3" t="s">
        <v>69</v>
      </c>
      <c r="E33" s="2">
        <v>4</v>
      </c>
      <c r="F33" s="4" t="s">
        <v>178</v>
      </c>
      <c r="G33" s="10" t="s">
        <v>111</v>
      </c>
      <c r="H33" s="7" t="s">
        <v>112</v>
      </c>
      <c r="I33" s="7" t="s">
        <v>113</v>
      </c>
      <c r="J33" s="7" t="s">
        <v>114</v>
      </c>
    </row>
    <row r="34" spans="2:10" ht="328.5" hidden="1" customHeight="1" x14ac:dyDescent="0.25">
      <c r="B34" s="1">
        <f t="shared" si="5"/>
        <v>21</v>
      </c>
      <c r="C34" s="24">
        <v>2</v>
      </c>
      <c r="D34" s="3" t="s">
        <v>69</v>
      </c>
      <c r="E34" s="2">
        <v>4</v>
      </c>
      <c r="F34" s="4" t="s">
        <v>177</v>
      </c>
      <c r="G34" s="10" t="s">
        <v>116</v>
      </c>
      <c r="H34" s="7" t="s">
        <v>117</v>
      </c>
      <c r="I34" s="7" t="s">
        <v>118</v>
      </c>
      <c r="J34" s="7" t="s">
        <v>119</v>
      </c>
    </row>
    <row r="35" spans="2:10" ht="63.75" x14ac:dyDescent="0.25">
      <c r="B35" s="1">
        <f t="shared" si="5"/>
        <v>22</v>
      </c>
      <c r="C35" s="24">
        <v>3</v>
      </c>
      <c r="D35" s="3" t="s">
        <v>120</v>
      </c>
      <c r="E35" s="2">
        <v>1</v>
      </c>
      <c r="F35" s="4" t="s">
        <v>121</v>
      </c>
      <c r="G35" s="10" t="s">
        <v>122</v>
      </c>
      <c r="H35" s="7" t="s">
        <v>123</v>
      </c>
      <c r="I35" s="7" t="s">
        <v>124</v>
      </c>
      <c r="J35" s="7" t="s">
        <v>125</v>
      </c>
    </row>
    <row r="36" spans="2:10" ht="63.75" x14ac:dyDescent="0.25">
      <c r="B36" s="1">
        <f t="shared" si="5"/>
        <v>23</v>
      </c>
      <c r="C36" s="24">
        <v>3</v>
      </c>
      <c r="D36" s="3" t="s">
        <v>120</v>
      </c>
      <c r="E36" s="2">
        <v>1</v>
      </c>
      <c r="F36" s="4" t="s">
        <v>126</v>
      </c>
      <c r="G36" s="9" t="s">
        <v>127</v>
      </c>
      <c r="H36" s="3" t="s">
        <v>128</v>
      </c>
      <c r="I36" s="3" t="s">
        <v>129</v>
      </c>
      <c r="J36" s="3" t="s">
        <v>130</v>
      </c>
    </row>
    <row r="37" spans="2:10" ht="63.75" x14ac:dyDescent="0.25">
      <c r="B37" s="1">
        <f t="shared" si="5"/>
        <v>24</v>
      </c>
      <c r="C37" s="24">
        <v>3</v>
      </c>
      <c r="D37" s="3" t="s">
        <v>120</v>
      </c>
      <c r="E37" s="2">
        <v>1</v>
      </c>
      <c r="F37" s="4" t="s">
        <v>131</v>
      </c>
      <c r="G37" s="9" t="s">
        <v>132</v>
      </c>
      <c r="H37" s="3" t="s">
        <v>72</v>
      </c>
      <c r="I37" s="3" t="s">
        <v>133</v>
      </c>
      <c r="J37" s="3" t="s">
        <v>73</v>
      </c>
    </row>
    <row r="38" spans="2:10" ht="63.75" x14ac:dyDescent="0.25">
      <c r="B38" s="1">
        <f t="shared" si="5"/>
        <v>25</v>
      </c>
      <c r="C38" s="24">
        <v>3</v>
      </c>
      <c r="D38" s="3" t="s">
        <v>120</v>
      </c>
      <c r="E38" s="2">
        <v>1</v>
      </c>
      <c r="F38" s="4" t="s">
        <v>134</v>
      </c>
      <c r="G38" s="9" t="s">
        <v>135</v>
      </c>
      <c r="H38" s="3" t="s">
        <v>136</v>
      </c>
      <c r="I38" s="3" t="s">
        <v>137</v>
      </c>
      <c r="J38" s="3" t="s">
        <v>138</v>
      </c>
    </row>
    <row r="39" spans="2:10" ht="63.75" x14ac:dyDescent="0.25">
      <c r="B39" s="1">
        <f t="shared" si="5"/>
        <v>26</v>
      </c>
      <c r="C39" s="24">
        <v>3</v>
      </c>
      <c r="D39" s="3" t="s">
        <v>120</v>
      </c>
      <c r="E39" s="2">
        <v>2</v>
      </c>
      <c r="F39" s="4" t="s">
        <v>139</v>
      </c>
      <c r="G39" s="9" t="s">
        <v>140</v>
      </c>
      <c r="H39" s="3" t="s">
        <v>141</v>
      </c>
      <c r="I39" s="3" t="s">
        <v>142</v>
      </c>
      <c r="J39" s="3" t="s">
        <v>143</v>
      </c>
    </row>
    <row r="40" spans="2:10" ht="63.75" x14ac:dyDescent="0.25">
      <c r="B40" s="1">
        <f t="shared" si="5"/>
        <v>27</v>
      </c>
      <c r="C40" s="24">
        <v>3</v>
      </c>
      <c r="D40" s="3" t="s">
        <v>120</v>
      </c>
      <c r="E40" s="2">
        <v>2</v>
      </c>
      <c r="F40" s="4" t="s">
        <v>144</v>
      </c>
      <c r="G40" s="9" t="s">
        <v>145</v>
      </c>
      <c r="H40" s="3" t="s">
        <v>146</v>
      </c>
      <c r="I40" s="3" t="s">
        <v>147</v>
      </c>
      <c r="J40" s="3" t="s">
        <v>148</v>
      </c>
    </row>
    <row r="41" spans="2:10" ht="63.75" x14ac:dyDescent="0.25">
      <c r="B41" s="1">
        <f t="shared" si="5"/>
        <v>28</v>
      </c>
      <c r="C41" s="24">
        <v>3</v>
      </c>
      <c r="D41" s="3" t="s">
        <v>120</v>
      </c>
      <c r="E41" s="2">
        <v>2</v>
      </c>
      <c r="F41" s="4" t="s">
        <v>149</v>
      </c>
      <c r="G41" s="9" t="s">
        <v>150</v>
      </c>
      <c r="H41" s="3" t="s">
        <v>151</v>
      </c>
      <c r="I41" s="3" t="s">
        <v>152</v>
      </c>
      <c r="J41" s="3" t="s">
        <v>153</v>
      </c>
    </row>
    <row r="42" spans="2:10" ht="63.75" x14ac:dyDescent="0.25">
      <c r="B42" s="1">
        <f t="shared" si="5"/>
        <v>29</v>
      </c>
      <c r="C42" s="24">
        <v>3</v>
      </c>
      <c r="D42" s="3" t="s">
        <v>120</v>
      </c>
      <c r="E42" s="2">
        <v>2</v>
      </c>
      <c r="F42" s="4" t="s">
        <v>154</v>
      </c>
      <c r="G42" s="8" t="s">
        <v>155</v>
      </c>
      <c r="H42" s="6" t="s">
        <v>156</v>
      </c>
      <c r="I42" s="6" t="s">
        <v>157</v>
      </c>
      <c r="J42" s="6" t="s">
        <v>158</v>
      </c>
    </row>
    <row r="43" spans="2:10" ht="316.5" customHeight="1" x14ac:dyDescent="0.25">
      <c r="B43" s="1">
        <f t="shared" si="5"/>
        <v>30</v>
      </c>
      <c r="C43" s="24">
        <v>3</v>
      </c>
      <c r="D43" s="3" t="s">
        <v>120</v>
      </c>
      <c r="E43" s="2">
        <v>3</v>
      </c>
      <c r="F43" s="4" t="s">
        <v>179</v>
      </c>
      <c r="G43" s="9" t="s">
        <v>160</v>
      </c>
      <c r="H43" s="3" t="s">
        <v>161</v>
      </c>
      <c r="I43" s="3" t="s">
        <v>162</v>
      </c>
      <c r="J43" s="3" t="s">
        <v>163</v>
      </c>
    </row>
    <row r="44" spans="2:10" ht="267.75" x14ac:dyDescent="0.25">
      <c r="B44" s="1">
        <f t="shared" si="5"/>
        <v>31</v>
      </c>
      <c r="C44" s="24">
        <v>3</v>
      </c>
      <c r="D44" s="3" t="s">
        <v>120</v>
      </c>
      <c r="E44" s="2">
        <v>3</v>
      </c>
      <c r="F44" s="4" t="s">
        <v>180</v>
      </c>
      <c r="G44" s="9" t="s">
        <v>118</v>
      </c>
      <c r="H44" s="3" t="s">
        <v>165</v>
      </c>
      <c r="I44" s="3" t="s">
        <v>166</v>
      </c>
      <c r="J44" s="3" t="s">
        <v>167</v>
      </c>
    </row>
    <row r="45" spans="2:10" ht="293.25" hidden="1" customHeight="1" x14ac:dyDescent="0.25">
      <c r="B45" s="1">
        <f t="shared" si="5"/>
        <v>32</v>
      </c>
      <c r="C45" s="24">
        <v>3</v>
      </c>
      <c r="D45" s="3" t="s">
        <v>120</v>
      </c>
      <c r="E45" s="2">
        <v>4</v>
      </c>
      <c r="F45" s="4" t="s">
        <v>181</v>
      </c>
      <c r="G45" s="9" t="s">
        <v>169</v>
      </c>
      <c r="H45" s="3" t="s">
        <v>170</v>
      </c>
      <c r="I45" s="3" t="s">
        <v>171</v>
      </c>
      <c r="J45" s="3" t="s">
        <v>172</v>
      </c>
    </row>
    <row r="46" spans="2:10" ht="294.75" hidden="1" customHeight="1" x14ac:dyDescent="0.25">
      <c r="B46" s="1">
        <f t="shared" si="5"/>
        <v>33</v>
      </c>
      <c r="C46" s="24">
        <v>3</v>
      </c>
      <c r="D46" s="3" t="s">
        <v>120</v>
      </c>
      <c r="E46" s="2">
        <v>4</v>
      </c>
      <c r="F46" s="4" t="s">
        <v>182</v>
      </c>
      <c r="G46" s="9" t="s">
        <v>174</v>
      </c>
      <c r="H46" s="3" t="s">
        <v>175</v>
      </c>
      <c r="I46" s="3" t="s">
        <v>117</v>
      </c>
      <c r="J46" s="3" t="s">
        <v>176</v>
      </c>
    </row>
  </sheetData>
  <autoFilter ref="B13:M70" xr:uid="{B005C0B0-9D89-4729-AC6E-7F1010ED0730}">
    <filterColumn colId="3">
      <filters blank="1">
        <filter val="1"/>
        <filter val="2"/>
        <filter val="3"/>
      </filters>
    </filterColumn>
  </autoFilter>
  <mergeCells count="6">
    <mergeCell ref="G11:J11"/>
    <mergeCell ref="B11:B12"/>
    <mergeCell ref="C11:C12"/>
    <mergeCell ref="D11:D12"/>
    <mergeCell ref="E11:E12"/>
    <mergeCell ref="F11:F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377DB4-6C24-48D2-BD34-3B7675A8B5FE}">
  <ds:schemaRefs>
    <ds:schemaRef ds:uri="http://schemas.microsoft.com/sharepoint/v3/contenttype/forms"/>
  </ds:schemaRefs>
</ds:datastoreItem>
</file>

<file path=customXml/itemProps2.xml><?xml version="1.0" encoding="utf-8"?>
<ds:datastoreItem xmlns:ds="http://schemas.openxmlformats.org/officeDocument/2006/customXml" ds:itemID="{1ABE43E1-51A4-4D72-BC47-449830ED59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2D988F-F3EE-4659-B685-336CAC6744C5}">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P21</vt:lpstr>
      <vt:lpstr>P21_final</vt:lpstr>
      <vt:lpstr>'P21'!Print_Area</vt:lpstr>
      <vt:lpstr>P21_final!Print_Area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2025-08-06T14:39:30Z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