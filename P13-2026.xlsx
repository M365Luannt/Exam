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5CDA1985-4D8B-4D8A-9B81-755533E38058}" xr6:coauthVersionLast="47" xr6:coauthVersionMax="47" xr10:uidLastSave="{00000000-0000-0000-0000-000000000000}"/>
  <bookViews>
    <workbookView xWindow="-120" yWindow="-120" windowWidth="29040" windowHeight="15720" firstSheet="1" activeTab="1" xr2:uid="{0A323993-6B0E-4465-9440-DABB234748ED}"/>
  </bookViews>
  <sheets>
    <sheet name="Sheet1" sheetId="1" state="hidden" r:id="rId1"/>
    <sheet name="P13_final" sheetId="2" r:id="rId2"/>
  </sheets>
  <definedNames>
    <definedName name="_xlnm._FilterDatabase" localSheetId="1" hidden="1">P13_final!$B$13:$M$43</definedName>
    <definedName name="_xlnm._FilterDatabase" localSheetId="0" hidden="1">Sheet1!$B$13:$M$64</definedName>
    <definedName name="_xlnm.Print_Area" localSheetId="1">P13_final!$B$1:$L$43</definedName>
    <definedName name="_xlnm.Print_Area" localSheetId="0">Sheet1!$B$1:$L$64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2" l="1"/>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G7" i="2" s="1"/>
  <c r="D13" i="2"/>
  <c r="C13" i="2"/>
  <c r="B13" i="2"/>
  <c r="H9" i="1"/>
  <c r="G9" i="1"/>
  <c r="F9" i="1"/>
  <c r="H8" i="1"/>
  <c r="G8" i="1"/>
  <c r="F8" i="1"/>
  <c r="H7" i="1"/>
  <c r="G7" i="1"/>
  <c r="F7" i="1"/>
  <c r="H6" i="1"/>
  <c r="G6" i="1"/>
  <c r="F6" i="1"/>
  <c r="B34" i="1"/>
  <c r="B33" i="1"/>
  <c r="B32" i="1"/>
  <c r="B31" i="1"/>
  <c r="B30" i="1"/>
  <c r="B29" i="1"/>
  <c r="B28" i="1"/>
  <c r="B27" i="1"/>
  <c r="B26" i="1"/>
  <c r="B25" i="1"/>
  <c r="B24" i="1"/>
  <c r="B23" i="1"/>
  <c r="B22" i="1"/>
  <c r="B21" i="1"/>
  <c r="B20" i="1"/>
  <c r="B19" i="1"/>
  <c r="B18" i="1"/>
  <c r="B17" i="1"/>
  <c r="B16" i="1"/>
  <c r="B15" i="1"/>
  <c r="B14" i="1"/>
  <c r="B55" i="1"/>
  <c r="B54" i="1"/>
  <c r="B53" i="1"/>
  <c r="B52" i="1"/>
  <c r="B51" i="1"/>
  <c r="B50" i="1"/>
  <c r="B49" i="1"/>
  <c r="B48" i="1"/>
  <c r="B47" i="1"/>
  <c r="B46" i="1"/>
  <c r="B45" i="1"/>
  <c r="B44" i="1"/>
  <c r="B43" i="1"/>
  <c r="B42" i="1"/>
  <c r="B41" i="1"/>
  <c r="B40" i="1"/>
  <c r="B39" i="1"/>
  <c r="B38" i="1"/>
  <c r="B37" i="1"/>
  <c r="B36" i="1"/>
  <c r="B35" i="1"/>
  <c r="B64" i="1"/>
  <c r="B63" i="1"/>
  <c r="B62" i="1"/>
  <c r="B61" i="1"/>
  <c r="B60" i="1"/>
  <c r="B59" i="1"/>
  <c r="B58" i="1"/>
  <c r="B57" i="1"/>
  <c r="B56" i="1"/>
  <c r="C13" i="1"/>
  <c r="D13" i="1"/>
  <c r="E13" i="1"/>
  <c r="F13" i="1"/>
  <c r="G13" i="1"/>
  <c r="H13" i="1"/>
  <c r="I13" i="1"/>
  <c r="J13" i="1"/>
  <c r="B13" i="1"/>
  <c r="H7" i="2" l="1"/>
  <c r="F8" i="2"/>
  <c r="F6" i="2"/>
  <c r="G6" i="2"/>
  <c r="F9" i="2"/>
  <c r="H6" i="2"/>
  <c r="G9" i="2"/>
  <c r="H8" i="2"/>
  <c r="F7" i="2"/>
  <c r="H9" i="2"/>
  <c r="G8" i="2"/>
  <c r="E9" i="1"/>
  <c r="G5" i="1"/>
  <c r="H5" i="1"/>
  <c r="F5" i="1"/>
  <c r="E6" i="1"/>
  <c r="E7" i="2" l="1"/>
  <c r="H5" i="2"/>
  <c r="E8" i="2"/>
  <c r="E9" i="2"/>
  <c r="G5" i="2"/>
  <c r="F5" i="2"/>
  <c r="E6" i="2"/>
  <c r="E8" i="1"/>
  <c r="E7" i="1"/>
  <c r="E5" i="1" s="1"/>
  <c r="E5" i="2" l="1"/>
</calcChain>
</file>

<file path=xl/sharedStrings.xml><?xml version="1.0" encoding="utf-8"?>
<sst xmlns="http://schemas.openxmlformats.org/spreadsheetml/2006/main" count="514" uniqueCount="261">
  <si>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</si>
  <si>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</si>
  <si>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</si>
  <si>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</si>
  <si>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</si>
  <si>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</si>
  <si>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</si>
  <si>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</si>
  <si>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</si>
  <si>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</si>
  <si>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</si>
  <si>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</si>
  <si>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Kế hoạch kiểm thử: Xác định mục tiêu, phạm vi và phương pháp kiểm thử</t>
  </si>
  <si>
    <t xml:space="preserve">Mục tiêu cốt lõi của hoạt động kiểm thử trong quy trình kiểm thử người dùng (UAT - User Acceptance Testing) là gì? </t>
  </si>
  <si>
    <t>Xác nhận rằng phần mềm đáp ứng đầy đủ các yêu cầu và mong đợi của người dùng cuối</t>
  </si>
  <si>
    <t>Đảm bảo rằng phần mềm không có lỗi cú pháp</t>
  </si>
  <si>
    <t>Kiểm tra hiệu suất của phần mềm dưới tải cao</t>
  </si>
  <si>
    <t>Đánh giá tính bảo mật của phần mềm</t>
  </si>
  <si>
    <t>Để thực hiện kiểm thử chức năng hiệu quả, Anh/Chị cần tham chiếu tài liệu nào dưới đây là chính yếu nhất?</t>
  </si>
  <si>
    <t>System Requirement Specification</t>
  </si>
  <si>
    <t>Test Case</t>
  </si>
  <si>
    <t>Test Script</t>
  </si>
  <si>
    <t>Test Execution Report</t>
  </si>
  <si>
    <t>Khi có ĐVCNTT mới kết nối triển khai dịch vụ Ecom hiện tại, cán bộ QLRR cần kiểm tra thông tin gì?
(1) Test lại cảnh báo hiện tại
(2) Kiểm tra, cập nhật đầu mối liên hệ của ĐVCNTT
(3) Gửi thông tin email nhận cảnh báo cho IT cập nhật, xác nhận lại với ĐVCNTT
(4): b và c</t>
  </si>
  <si>
    <t>Kiểm tra, cập nhật đầu mối liên hệ của ĐVCNTT và gửi thông tin email nhận cảnh báo cho IT cập nhật, xác nhận lại với ĐVCNTT</t>
  </si>
  <si>
    <t>Test lại cảnh báo hiện tại</t>
  </si>
  <si>
    <t>Kiểm tra, cập nhật đầu mối liên hệ của ĐVCNTT</t>
  </si>
  <si>
    <t>Gửi thông tin email nhận cảnh báo cho IT cập nhật, xác nhận lại với ĐVCNTT</t>
  </si>
  <si>
    <t>Khi thực hiện kiểm thử tiêu chí giám sát, cánh báo gian lận giả mạo, việc kiểm thử sẽ được thực hiện các nội dung chính nào?
(1) Kiểm tra tính chính xác của các cảnh báo và điều kiện của rule cảnh báo
(2) Kiểm tra mã lỗi của khách hàng thực hiện giao dịch 
(3) Kiểm tra báo cáo quyết toán</t>
  </si>
  <si>
    <t>Kiểm tra tính chính xác của các cảnh báo và điều kiện của rule cảnh báo</t>
  </si>
  <si>
    <t xml:space="preserve">Kiểm tra mã lỗi của khách hàng thực hiện giao dịch </t>
  </si>
  <si>
    <t>Kiểm tra báo cáo quyết toán</t>
  </si>
  <si>
    <t>Kiểm tra hành vi và luồng giao dịch bất thường, bao gồm kiểm tra tần suất, thời điểm và địa điểm giao dịch bất thường</t>
  </si>
  <si>
    <t>Mục tiêu cốt lõi của hoạt động kiểm thử đơn vị trong quy trình kiểm thử là gì?</t>
  </si>
  <si>
    <t>Xác minh từng đơn vị trong phần mềm hoạt động đúng theo thiết kế</t>
  </si>
  <si>
    <t>Xác nhận rằng các đơn vị giao diện người dùng hoạt động đúng chức năng</t>
  </si>
  <si>
    <t>Phát hiện lỗi tích hợp giữa các hệ thống khác nhau</t>
  </si>
  <si>
    <t>Đánh giá hiệu suất tổng thể của hệ thống</t>
  </si>
  <si>
    <t>Trong hệ thống chuyển mạch thanh toán của Napas, luồng giao dịch nào dưới đây phản ánh đúng trình tự cơ bản từ khi phát sinh yêu cầu đến khi kết thúc giao dịch?</t>
  </si>
  <si>
    <t>Người dùng → Ngân hàng phát lệnh → Napas → Ngân hàng thụ hưởng → Phản hồi kết quả</t>
  </si>
  <si>
    <t>Ngân hàng thụ hưởng → Napas → Ngân hàng phát lệnh → Kết quả giao dịch</t>
  </si>
  <si>
    <t>Người dùng → Napas → Ngân hàng phát lệnh → Ngân hàng thụ hưởng → Phản hồi kết quả</t>
  </si>
  <si>
    <t>Napas → Người dùng → Ngân hàng phát lệnh → Ngân hàng thụ hưởng</t>
  </si>
  <si>
    <t>Trong một giao dịch chuyển tiền liên ngân hàng thời gian thực (24/7) qua hệ thống Napas, thành phần nào dưới đây tham gia trực tiếp vào toàn bộ luồng giao dịch, từ phát sinh đến hoàn tất giao dịch?</t>
  </si>
  <si>
    <t>Ngân hàng phát hành, Napas, và ngân hàng thụ hưởng.</t>
  </si>
  <si>
    <t>Chỉ Napas</t>
  </si>
  <si>
    <t>Chỉ ngân hàng thụ hưởng</t>
  </si>
  <si>
    <t>Ngân hàng trung ương</t>
  </si>
  <si>
    <t>Cách tiếp cận kiểm thử theo rủi ro phù hợp khi nào?</t>
  </si>
  <si>
    <t>Khi cần ưu tiên kiểm thử các chức năng có khả năng gây ra hậu quả nghiêm trọng nếu xảy ra lỗi.</t>
  </si>
  <si>
    <t>Khi có đủ thời gian và tài nguyên để kiểm thử toàn bộ hệ thống một cách toàn diện.</t>
  </si>
  <si>
    <t>Khi hệ thống đã được kiểm thử đầy đủ và không còn rủi ro nào đáng kể.</t>
  </si>
  <si>
    <t>Khi tất cả các chức năng đều có mức độ rủi ro như nhau.</t>
  </si>
  <si>
    <t>Đâu là yếu tố quan trọng để tối ưu kế hoạch kiểm thử?</t>
  </si>
  <si>
    <t>Xác định rõ phạm vi kiểm thử, ưu tiên các chức năng quan trọng và thiết lập các kịch bản kiểm thử phù hợp với yêu cầu sản phẩm.</t>
  </si>
  <si>
    <t>Sử dụng cùng một công cụ kiểm thử cho tất cả các dự án</t>
  </si>
  <si>
    <t>Chạy toàn bộ test case càng nhiều lần càng tốt</t>
  </si>
  <si>
    <t>Chỉ kiểm thử các chức năng chính mà không cần tài liệu</t>
  </si>
  <si>
    <t>Khi kiểm thử hệ thống theo thông số thực tế, cần môi trường nào?</t>
  </si>
  <si>
    <t>Môi trường kiểm thử sử dụng dữ liệu và cấu hình gần giống nhất với môi trường thực tế</t>
  </si>
  <si>
    <t>Môi trường tương tự với môi trường phát triển, đảm bảo có thể linh động cấu hình các thông số</t>
  </si>
  <si>
    <t>Môi trường mô phỏng hệ thống với các cấu hình phần cứng và phần mềm tối ưu nhất</t>
  </si>
  <si>
    <t>Môi trường có thể giả lập các trường hợp kiểm thử quan trọng nhất</t>
  </si>
  <si>
    <t>Anh/Chị được giao phụ trách lập kế hoạch kiểm thử cho Dịch vụ Hỗ trợ thu hộ chi hộ ( thanh toán hóa đơn) với các Tổ chức Phát lệnh ( Đại lý, NH, TGTT). Dữ liệu đầu vào chứa mã hóa đơn, số hợp đồng, mã ngân hàng, số tiền, thời gian giao dịch. Hệ thống có nhiều nhánh xử lý phụ thuộc vào loại hóa đơn (điện, nước, internet,...). Với yêu cầu đa dạng này, đâu là kế hoạch kiểm thử hợp lý nhất?</t>
  </si>
  <si>
    <t>Kiểm thử Giao dịch thành công các hóa đơn (điện, nước...) cho tất cả NCCDV mà TCPH triển khai, đối với case không thành công, kiểm thử đại diện theo mã lỗi của dịch vụ Thu hộ/Chi hộ.( đáp án đúng)</t>
  </si>
  <si>
    <t>Chỉ kiểm thử với một loại hóa đơn bất kỳ và giả định các loại khác xử lý tương tự.</t>
  </si>
  <si>
    <t>Ưu tiên kiểm thử giao diện người dùng, không cần kiểm tra logic xử lý phía hệ thống hoặc từng NCCDV.</t>
  </si>
  <si>
    <t>Chạy toàn bộ test case với dữ liệu ngẫu nhiên để tiết kiệm thời gian phân loại dịch vụ và mã lỗi.</t>
  </si>
  <si>
    <t>Anh/Chị được giao phụ trách lập kế hoạch kiểm thử cho dịch vụ thanh toán hóa đơn trực tuyến thông qua Napas với các ngân hàng thành viên. Dữ liệu đầu vào chứa mã hóa đơn, số hợp đồng, mã ngân hàng, số tiền, thời gian giao dịch. Hệ thống có nhiều nhánh xử lý phụ thuộc vào loại hóa đơn (điện, nước, internet,...). Với yêu cầu đa dạng này, đâu là kế hoạch kiểm thử hợp lý nhất?</t>
  </si>
  <si>
    <t>Thiết lập ma trận kiểm thử bao gồm dữ liệu đầu vào đa dạng theo loại hóa đơn và thực hiện kiểm thử phân nhánh nghiệp vụ.</t>
  </si>
  <si>
    <t>Kiểm thử hiệu năng và bảo mật là không cần thiết ở hệ thống thanh toán trực tuyến</t>
  </si>
  <si>
    <t>Tập trung kiểm thử giao diện để người dùng thao tác dễ dàng.</t>
  </si>
  <si>
    <t>Chạy kiểm thử đơn vị trên từng hàm xử lý hóa đơn riêng biệt.</t>
  </si>
  <si>
    <t>Khi lập kế hoạch kiểm thử trong phạm vi phụ trách, yếu tố nào sau đây cần được xác định đầu tiên?</t>
  </si>
  <si>
    <t>Mục tiêu và phạm vi kiểm thử</t>
  </si>
  <si>
    <t>Thông tin về giao dịch</t>
  </si>
  <si>
    <t>Giao diện người dùng</t>
  </si>
  <si>
    <t>Tên của các lập trình viên</t>
  </si>
  <si>
    <t>Một dự án triển khai tính năng xác thực QR thanh toán giữa ngân hàng A, ngân hàng B và cổng Napas, yêu cầu tích hợp với hệ thống sinh mã QR động của các ngân hàng. Các bản tin giữa các bên sử dụng định dạng JSON chuẩn hóa. Trong quá trình lập kế hoạch kiểm thử, đâu là tổ hợp các nội dung kiểm thử cần có?</t>
  </si>
  <si>
    <t>Kiểm thử chức năng sinh – quét QR, kiểm thử định dạng bản tin JSON chuẩn hóa, kiểm thử liên thông giữa các hệ thống</t>
  </si>
  <si>
    <t>Kiểm thử chức năng sinh – quét QR, kiểm thử định dạng bản tin JSON, kiểm tra tích hợp giữa các ngân hàng thành viên.</t>
  </si>
  <si>
    <t>Kiểm thử chức năng quét QR, kiểm thử giao diện người dùng, và kiểm thử bảo mật trên ứng dụng mobile</t>
  </si>
  <si>
    <t>Kiểm thử độ nét của mã QR và quét mã QR trên các thiết bị mobile chạy hệ điều hành khác nhau.</t>
  </si>
  <si>
    <t>Trong một yêu cầu triển khai dịch vụ chuyển tiền nhanh 24/7 qua Napas giữa ngân hàng A và ngân hàng B, yêu cầu nghiệp vụ có đề cập: "Đảm bảo xử lý giao dịch trong vòng ≤3 giây, kể từ khi khách hàng xác nhận đến khi ngân hàng B phản hồi kết quả giao dịch". Anh/Chị cần xây dựng kế hoạch kiểm thử cho yêu cầu này. Đâu là lựa chọn phù hợp nhất?</t>
  </si>
  <si>
    <t>Thiết kế kiểm thử hiệu năng. Đo thời gian thực tế từ thời điểm khách hàng xác nhận đến khi nhận được phản hồi của ngân hàng B. Đảm bảo đáp ứng thời gian ≤3 giây</t>
  </si>
  <si>
    <t>Thực hiện nhiều giao dịch chuyển tiền trong giờ cao điểm để đo thời gian thực tế từ thời điểm khách hàng xác nhận đến khi nhận được phản hồi của ngân hàng B là ≤3 giây</t>
  </si>
  <si>
    <t>Kiểm thử với các nội dung và số tiền chuyển khác nhau để đảm bảo thời gian không vượt quá 3 giây</t>
  </si>
  <si>
    <t>Thực hiện kiểm thử 1 giao dịch chuyển tiền 24/7 thành công, đảm bảo thời gian hoàn thành giao dịch ≤3 giây</t>
  </si>
  <si>
    <t>Dự án triển khai dịch vụ thu hộ học phí qua Napas liên quan đến các giao dịch giữa ngân hàng, cổng thanh toán và trường học. Dịch vụ này yêu cầu tính năng hoàn tiền tự động cho các giao dịch học phí nếu phát hiện sai sót trong việc xử lý, cùng với khả năng xác minh thông tin sinh viên từ hệ thống của trường học. Dưới đây là tình huống phát sinh: trong quá trình kiểm thử, có một số giao dịch không được xử lý hoàn tiền, nhưng không có thông báo lỗi rõ ràng gửi về trường học hoặc ngân hàng. Để điều phối và giám sát kiểm thử, Anh/Chị cần làm gì để đảm bảo sự cố được xử lý?</t>
  </si>
  <si>
    <t>Lập kế hoạch kiểm thử các tình huống giao dịch bình thường và bất thường, kiểm thử hoàn tiền và xử lý lỗi hoàn tiền cho các trường hợp không hợp lệ</t>
  </si>
  <si>
    <t>Tập trung kiểm thử quy trình hoàn tiền, đảm bảo hệ thống có thể xử lý các trường hợp hoàn tiền đúng đắn và cảnh báo trường học/ngân hàng khi có lỗi.</t>
  </si>
  <si>
    <t>Kiểm thử các thông báo lỗi để đảm bảo chúng được gửi chính xác và kịp thời tới các bên liên quan như trường học và ngân hàng khi có lỗi trong giao dịch.</t>
  </si>
  <si>
    <t>Giao trách nhiệm kiểm thử phần thông báo lỗi cho cổng thanh toán và chỉ kiểm thử giao dịch thanh toán cho ngân hàng, tránh việc kiểm thử toàn bộ quy trình.</t>
  </si>
  <si>
    <t>Napas triển khai dịch vụ chuyển tiền mới tích hợp với hệ thống xác thực sinh trắc học từ ngân hàng thành viên. Dịch vụ yêu cầu truyền thêm trường dữ liệu định danh vân tay trong bản tin ISO 8583 mở rộng. Trong cuộc họp đánh giá yêu cầu, đại diện ngân hàng B cho rằng đây chỉ là thay đổi về dữ liệu và không ảnh hưởng logic xử lý. Tuy nhiên, phía kỹ thuật nhận định có thể phát sinh lỗi tương thích. Là người lập kế hoạch kiểm thử, Anh/Chị cần làm gì để đảm bảo rủi ro được kiểm soát?</t>
  </si>
  <si>
    <t>Lập kế hoạch kiểm thử tổng thể bao gồm kiểm thử tích hợp giữa các hệ thống, kiểm thử tương thích định dạng bản tin ISO 8583 mở rộng, đánh giá rủi ro dữ liệu không tương thích và phối hợp kiểm thử liên ngân hàng.</t>
  </si>
  <si>
    <t>Đồng ý với ngân hàng B rằng đây chỉ là thay đổi dữ liệu nên chỉ cần kiểm thử đơn vị nội bộ.</t>
  </si>
  <si>
    <t>Tập trung kiểm thử giao diện người dùng vì người dùng sẽ là bên xác thực vân tay.</t>
  </si>
  <si>
    <t>Chỉ kiểm thử trên môi trường kiểm thử của ngân hàng B vì đây là nơi tiếp nhận dữ liệu vân tay.</t>
  </si>
  <si>
    <t>Napas vừa triển khai một dịch vụ mới cho phép chuyển tiền từ ngân hàng A đến ngân hàng B qua hệ thống thanh toán của Napas, với tính năng bổ sung cho phép người dùng có thể lưu trữ và truy xuất lịch sử giao dịch. Dịch vụ này yêu cầu hệ thống lưu trữ dữ liệu thanh toán cùng các thông tin nhạy cảm như số thẻ ngân hàng, mã xác thực giao dịch và thời gian giao dịch. Trong quá trình kiểm thử, các kỹ sư phát hiện ra rằng, khi hệ thống nhận được quá 10.000 giao dịch trong vòng 1 giờ, tốc độ xử lý giảm rõ rệt, đồng thời thông tin thanh toán của khách hàng đôi khi bị ghi đè. Anh/Chị cần lập kế hoạch kiểm thử như thế nào để kiểm soát rủi ro và đảm bảo chất lượng hệ thống?</t>
  </si>
  <si>
    <t xml:space="preserve"> Lập kế hoạch kiểm thử hiệu năng (load/stress test), kiểm thử tính toàn vẹn dữ liệu và kiểm thử bảo mật để phát hiện nguyên nhân gốc và phòng ngừa rủi ro ghi đè hoặc rò rỉ thông tin nhạy cảm</t>
  </si>
  <si>
    <t xml:space="preserve">Tăng thêm thời gian chờ (timeout) để hệ thống có đủ thời gian xử lý và tránh lỗi ghi đè </t>
  </si>
  <si>
    <t>Tập trung kiểm thử giao diện truy xuất lịch sử để đảm bảo người dùng vẫn có thể xem thông tin khi cần</t>
  </si>
  <si>
    <t>Hạn chế số lượng giao dịch mỗi giờ trong môi trường kiểm thử để tránh gây gián đoạn hệ thống</t>
  </si>
  <si>
    <t>Xây dựng Test case &amp; Tối ưu kiểm thử: Tạo và tối ưu các kịch bản kiểm thử để đảm bảo chất lượng và hiệu quả hệ thống</t>
  </si>
  <si>
    <t>"Trong quá trình triển khai UAT, TCPL hiển thị thông báo cho khách hàng cuối không đúng với ý nghĩa mã lỗi Napas trả về, theo bạn phương án xử lý của trường hợp này là gì?</t>
  </si>
  <si>
    <t>Trao đổi với TCPL để thực hiện sửa thông báo theo đúng yêu cầu của kịch bản test</t>
  </si>
  <si>
    <t xml:space="preserve">Dừng không nghiệm thu dịch vụ
</t>
  </si>
  <si>
    <t>Không cần chỉnh sửa</t>
  </si>
  <si>
    <t>Thông báo lại cho team KT để chỉnh sửa mã lỗi"</t>
  </si>
  <si>
    <t>Anh/Chị đang kiểm thử  chức năng cài đặt danh sách thẻ đen, cần thực hiện test các trường hợp cài đặt không thành công nào?</t>
  </si>
  <si>
    <t>Tất cả các đáp án trên</t>
  </si>
  <si>
    <t>Nhập số thẻ không đủ độ dài</t>
  </si>
  <si>
    <t>Nhập số thẻ thừa độ dài</t>
  </si>
  <si>
    <t>Nhập ký tự gồm: chữ, và các ký tự đặc biệt</t>
  </si>
  <si>
    <t>Anh/Chị đang kiểm thử chức năng xác thực OTP khi đăng nhập hệ thống quản lý giao dịch nội bộ.
Test case mô tả:  Bước kiểm thử: Nhập mã OTP sai 3 lần liên tiếp;Kỳ vọng: Tài khoản bị khóa tạm thời và hiển thị thông báo “Tài khoản tạm thời bị khóa do xác thực sai quá số lần quy định.”
Kết quả nào dưới đây là phù hợp để đánh dấu test case là “Pass”?</t>
  </si>
  <si>
    <t>Tài khoản bị khóa tạm thời và hiển thị thông báo “Tài khoản tạm thời bị khóa do xác thực sai quá số lần quy định.”</t>
  </si>
  <si>
    <t>Tài khoản bị khoá nhưng hệ thống không hiển thị thông báo cho người dùng</t>
  </si>
  <si>
    <t>Tài khoản không bị khoá</t>
  </si>
  <si>
    <t>Hệ thống hiển thị thông báo "Tài khoản bị khoá"</t>
  </si>
  <si>
    <t>Anh/Chị đang kiểm thử thủ công chức năng chuyển tiền liên ngân hàng 24/7. Trong một Test case, hệ thống yêu cầu: “Nếu tài khoản người gửi không đủ số dư sau khi trừ phí giao dịch, hệ thống không thực hiện giao dịch và hiển thị thông báo lỗi.”
Bước kiểm thử nào dưới đây là phù hợp nhất với kịch bản này?</t>
  </si>
  <si>
    <t>Thực hiện giao dịch chuyển tiền với tổng số tiền cần chuyển cộng với phí giao dịch lớn hơn số dư tài khoản</t>
  </si>
  <si>
    <t xml:space="preserve">Thực hiện giao dịch chuyển tiền với số tiền cần chuyển nhỏ hơn số dư tài khoản
</t>
  </si>
  <si>
    <t>Thực hiện giao dịch chuyển tiền với số tiền cần chuyển bằng số dư tài khoản</t>
  </si>
  <si>
    <t>Thực hiện giao dịch chuyển tiền với tổng số tiền cần chuyển cộng với phí giao dịch bằng đúng số dư tài khoản</t>
  </si>
  <si>
    <t>Trong kiểm thử phần mềm tại Napas, mục tiêu chính của việc xây dựng Test case là gì?</t>
  </si>
  <si>
    <t>Đảm bảo rằng các yêu cầu phần mềm được kiểm tra đầy đủ và phát hiện lỗi tiềm ẩn.</t>
  </si>
  <si>
    <t>Tăng tốc độ phát triển phần mềm bằng cách viết mã tự động</t>
  </si>
  <si>
    <t>Ghi lại toàn bộ luồng giao dịch để báo cáo cho người dùng cuối</t>
  </si>
  <si>
    <t>Giảm thời gian bảo trì phần mềm sau khi đưa vào hoạt động</t>
  </si>
  <si>
    <t>Trong kiểm thử UAT tại Napas, mục tiêu chính của việc xây dựng Test case là gì?</t>
  </si>
  <si>
    <t>Kiểm tra luồng giao dịch, thanh quyết toán, đối soát đúng theo yêu cầu từng SPDV.</t>
  </si>
  <si>
    <t>Đảm bảo hệ thống đạt hiệu suất tối ưu khi xử lý lượng giao dịch lớn.</t>
  </si>
  <si>
    <t>Kiểm tra chi tiết các đoạn mã nguồn để phát hiện lỗi logic.</t>
  </si>
  <si>
    <t>Đánh giá khả năng tương thích của hệ thống với các nền tảng phần cứng khác nhau.</t>
  </si>
  <si>
    <t>Trong quá trình chuẩn bị triển khai UAT, NCCDV có cập nhật các mã lỗi mới, IT của Napas đã thực hiện map mã lỗi theo techspec của NCCDV gửi tuy nhiên bạn thấy có điểm chưa hợp lý với những mã lỗi đã được map, theo bạn phương án xử lý của trường hợp này là gì?</t>
  </si>
  <si>
    <t>Trao đổi với NCCDV để hiểu rõ ý nghĩa mã lỗi sau đó trao đổi với Sản phẩm và IT để thực hiện map mã lỗi theo đúng ý nghĩa mã lỗi của NCCDV trả về</t>
  </si>
  <si>
    <t>Thực hiện UAT với bảng map mã lỗi của IT đã thực hiện</t>
  </si>
  <si>
    <t>Báo IT chỉnh sửa theo đúng ý nghĩa mã lỗi</t>
  </si>
  <si>
    <t>Thông báo với team Kinh doanh để làm việc với NCCDV</t>
  </si>
  <si>
    <t>Anh/Chị được giao kiểm thử chức năng chuyển khoản liên ngân hàng qua hệ thống Napas. Giao diện người dùng gồm 3 trường thông tin: Số tài khoản người nhận; Số tiền; Nội dung chuyển tiền. Khi ấn nút “Tiếp tục”, hệ thống sẽ hiển thị màn hình xác nhận. Với yêu cầu trên, bước kiểm thử phù hợp là?</t>
  </si>
  <si>
    <t xml:space="preserve">Kiểm thử chức năng bằng cách nhập dữ liệu hợp lệ vào 3 trường và xác minh hệ thống hiển thị màn hình xác nhận. </t>
  </si>
  <si>
    <t>Kiểm thử giao diện người dùng bằng cách thay đổi màu sắc và bố cục các trường thông tin.</t>
  </si>
  <si>
    <t>Kiểm thử hiệu năng để đo thời gian phản hồi khi nhấn nút “Tiếp tục”.</t>
  </si>
  <si>
    <t xml:space="preserve">Kiểm thử chức năng bằng cách nhập số tiền âm và kiểm tra hệ thống có hiển thị lỗi hay không. </t>
  </si>
  <si>
    <t>Khi kiểm thử chức năng giám sát cảnh báo gian lận các yếu tố nào sau đây cần được lưu ý kiểm thử?</t>
  </si>
  <si>
    <t>Tất cả các yếu tố trên</t>
  </si>
  <si>
    <t>Tính chính xác của cảnh báo</t>
  </si>
  <si>
    <t>Thời gian cảnh báo</t>
  </si>
  <si>
    <t>Khả năng ghi nhận và lưu trữ lịch sử cảnh báo</t>
  </si>
  <si>
    <t>Trong giao dịch chuyển tiền qua Napas, yếu tố nào cần đưa vào test case?</t>
  </si>
  <si>
    <t>Kiểm tra xác thực người dùng, tính chính xác của thông tin giao dịch, trạng thái xử lý giao dịch và phản hồi kết quả từ hệ thống.</t>
  </si>
  <si>
    <t>Địa chỉ IP của máy chủ Napas</t>
  </si>
  <si>
    <t>Thời gian phản hồi API của hệ thống Napas</t>
  </si>
  <si>
    <t>Kiểm thử hiệu năng không cần kiểm thử chức năng</t>
  </si>
  <si>
    <t>Trong quá trình kiểm thử, có chức năng kết nối tới hệ thống ngân hàng đối tác để xác minh số tài khoản. Trường hợp mạng chậm hoặc không phản hồi, hệ thống cần hiển thị lỗi: “Kết nối không thành công, vui lòng thử lại sau”. Kịch bản kiểm thử phù hợp nhất cho tình huống trên là gì?</t>
  </si>
  <si>
    <t>Kiểm tra hiển thị thông báo khi kết nối tới hệ thống ngân hàng đối tác do mạng chậm hoặc không phản hồi</t>
  </si>
  <si>
    <t>Kiểm tra kết nối tới hệ thống ngân hàng đối tác</t>
  </si>
  <si>
    <t>Kiểm tra ngân hàng đối tác xác minh số tài khoản đúng</t>
  </si>
  <si>
    <t>Kiểm tra ngân hàng đối tác phản hồi giao dịch không thành công</t>
  </si>
  <si>
    <t>Trong quá trình kiểm thử phát hiện lỗi, thông tin nào sau đây là bắt buộc cần đưa ra để hỗ trợ phân tích nguyên nhân?</t>
  </si>
  <si>
    <t>Mô tả lỗi, bước tái hiện, dữ liệu đầu vào, kết quả mong đợi và thực tế</t>
  </si>
  <si>
    <t>Tên người kiểm thử</t>
  </si>
  <si>
    <t>Tên lập trình viên</t>
  </si>
  <si>
    <t>Ngày phát hành phần mềm</t>
  </si>
  <si>
    <t>Anh/Chị đang xây dựng test case cho hệ thống xác thực OTP trong giao dịch thanh toán liên ngân hàng. Một rủi ro tiềm ẩn là: OTP có thể bị tái sử dụng hoặc xác thực sai phiên giao dịch. Test case nào sau đây là cần thiết để phòng tránh lỗi bảo mật này?</t>
  </si>
  <si>
    <t>Kiểm tra khả năng vô hiệu hóa OTP sau khi sử dụng và đảm bảo mỗi OTP chỉ có hiệu lực trong một phiên giao dịch duy nhất.</t>
  </si>
  <si>
    <t>Kiểm tra OTP có thể sử dụng lại cho nhiều giao dịch trong thời gian hiệu lực</t>
  </si>
  <si>
    <t>Kiểm tra OTP hợp lệ nếu đúng định dạng và chưa hết hạn</t>
  </si>
  <si>
    <t>Kiểm tra OTP chỉ cần trùng với giá trị hệ thống đã gửi, không cần ràng buộc với giao dịch</t>
  </si>
  <si>
    <t>Dịch vụ thanh toán hóa đơn qua Napas yêu cầu khớp chính xác mã nhà cung cấp dịch vụ (điện, nước, internet…). Trong test case kiểm thử, Anh/Chị phát hiện nhiều bản tin từ ngân hàng gửi về có mã hóa đơn trùng nhau nhưng khác nhà cung cấp. Test case nào sau đây nên được bổ sung để phòng tránh lỗi nghiệp vụ?</t>
  </si>
  <si>
    <t>Kiểm thử các bản tin có mã hóa đơn giống nhau nhưng thuộc khác nhà cung cấp để đảm bảo hệ thống phân biệt đúng</t>
  </si>
  <si>
    <t>Kiểm thử các bản tin có cùng mã hóa đơn, cùng đơn vị nhưng khác số tiền thanh toán</t>
  </si>
  <si>
    <t>Kiểm thử việc gửi nhiều bản tin trùng mã hóa đơn và trùng nhà cung cấp để kiểm tra xử lý trùng lặp</t>
  </si>
  <si>
    <t>Kiểm thử các bản tin có định dạng mã hóa đơn không hợp lệ nhưng trùng mã hóa đơn</t>
  </si>
  <si>
    <t>Dịch vụ thanh toán toán trực tuyến thẻ nội địa, Napas yêu cầu mã đơn hàng duy nhất đối với 1 NCCDV. Trong quá trình kiểm thử, NCCDV phản ánh nhận được 2 kết quả giao dịch khác nhau cho cùng 01 đơn hàng. Những test cases nào sau đây nên được bổ sung để phòng tránh lỗi nghiệp vụ?</t>
  </si>
  <si>
    <t>Kiểm thử giao dịch trùng Mã đơn hàng cùng NCCDV,  sao chép và thanh toán trên nhiều trình duyệt/ thiết bị</t>
  </si>
  <si>
    <t>Kiểm thử các giao dịch với mã đơn hàng khác nhau để đảm bảo tính đa dạng của dữ liệu.</t>
  </si>
  <si>
    <t>Thanh toán trùng mã đơn hàng tại các NCCDV khác</t>
  </si>
  <si>
    <t>Tất cả các phương án trên</t>
  </si>
  <si>
    <t>Hệ thống Napas triển khai API truy vấn trạng thái giao dịch để ngân hàng A có thể kiểm tra kết quả xử lý tại ngân hàng B theo thời gian thực. Trong kiểm thử kỹ thuật API, đâu là nhóm kiểm thử cần được ưu tiên để đảm bảo độ tin cậy dịch vụ?</t>
  </si>
  <si>
    <t>Kiểm thử xử lý timeout, retry và dữ liệu không đồng bộ giữa hai ngân hàng.</t>
  </si>
  <si>
    <t>Kiểm thử giao diện người dùng gọi API.</t>
  </si>
  <si>
    <t>Kiểm thử gửi sai phương thức HTTP (POST thay vì GET).</t>
  </si>
  <si>
    <t>Kiểm thử dịch vụ khi hệ thống vận hành ở chế độ batch.</t>
  </si>
  <si>
    <t>Mục tiêu chính của kiểm thử chức năng giám sát cảnh báo gian lận là gì?</t>
  </si>
  <si>
    <t xml:space="preserve">Đảm bảo hệ thống có thể phát hiện và cảnh báo các hành vi gian lận giả mạo kịp thời
</t>
  </si>
  <si>
    <t>Kiểm tra giao diện người dùng có thân thiện hay không</t>
  </si>
  <si>
    <t>Đảm bảo hệ thống có thể xử lý thanh toán nhanh hơn</t>
  </si>
  <si>
    <t>Kiểm tra tốc độ tải trang web</t>
  </si>
  <si>
    <t>Trong một đợt kiểm thử dịch vụ chuyển tiền định kỳ, Anh/Chị muốn bổ sung kiểm thử kỹ thuật để đảm bảo dữ liệu không bị rò rỉ. Kiểm thử nào dưới đây nên được thực hiện?</t>
  </si>
  <si>
    <t>Kiểm thử bảo mật (security testing) để phát hiện lỗ hổng làm rò rỉ dữ liệu</t>
  </si>
  <si>
    <t>Kiểm thử giao diện người dùng để đảm bảo trải nghiệm người dùng mượt mà</t>
  </si>
  <si>
    <t>Kiểm thử hiệu năng khi nhiều lệnh chuyển tiền định kỳ cùng được xử lý</t>
  </si>
  <si>
    <t>Kiểm thử logic nghiệp vụ xử lý khi tài khoản không đủ số dư</t>
  </si>
  <si>
    <t>Phân tích lỗi và đảm bảo chất lượng: Xác định lỗi, nguyên nhân, phương thức khắc phục, phòng ngừa, cải tiến toàn diện</t>
  </si>
  <si>
    <t>Napas đang phát triển một hệ thống thanh toán mới cho ngân hàng đối tác. Hệ thống Napas đang phát triển một hệ thống thanh toán mới cho ngân hàng đối tác. Hệ thống yêu cầu sử dụng nhiều công cụ kiểm thử như Selenium để kiểm thử chức năng giao diện người dùng, JMeter để kiểm thử tải và Postman để kiểm thử API. Để tối ưu hóa quy trình kiểm thử và giảm thiểu thời gian kiểm thử mà vẫn đảm bảo chất lượng, Anh/Chị sẽ thực hiện các giải pháp nào?
(1)  Phân bổ các công cụ kiểm thử cho từng phần riêng biệt của hệ thống, với mỗi công cụ sử dụng cho một mục tiêu cụ thể.
(2) Xây dựng chiến lược kiểm thử tích hợp để sử dụng các công cụ phù hợp cho từng phần của quy trình kiểm thử và tối ưu hóa hiệu quả kiểm thử.
(3) Kết hợp các công cụ kiểm thử tự động để đồng thời thực hiện các bài kiểm thử mà không cần phải sử dụng kiểm thử thủ công.
(4) Đảm bảo quy trình kiểm thử có thể linh hoạt để thay đổi công cụ khi cần thiết, đồng thời áp dụng các công cụ kiểm thử khác nhau cho các mục tiêu kiểm thử khác nhau.</t>
  </si>
  <si>
    <t>(1), (2), (3), (4)</t>
  </si>
  <si>
    <t>(1), (2), (3)</t>
  </si>
  <si>
    <t>(2), (3), (4)</t>
  </si>
  <si>
    <t>(1), (3), (4)</t>
  </si>
  <si>
    <t>Napas đang tiến hành nâng cấp cổng thanh toán quốc tế theo yêu cầu của Tổ chức thẻ quốc tế Visa cho các giao dịch thanh toán bằng token. Phía IT đã thực hiện nâng cấp xong và đề nghị thực hiện test kiểm tra lại toàn bộ dịch vụ cổng thanh toán sau nâng cấp. Phạm vị chỉnh sửa của IT liên quan đến việc bổ sung một trường thông tin theo yêu cầu trong giao dịch online liên quan đến token. Đây là test case cần thiết thực hiện để kiểm thử việc nâng cấp"</t>
  </si>
  <si>
    <t>Test lại toàn bộ test case liên quan đến giao dịch thanh toán bằng token, các giao dịch khác test 1 case thành công và 1 case KTC đại diện cho các trạng thái lỗi khác nhau</t>
  </si>
  <si>
    <t xml:space="preserve">Test toàn bộ  các test case liên quan đến các giao dịch thanh toán bằng token </t>
  </si>
  <si>
    <t>Test lại toàn bộ cổng thanh toán theo fiull kịch bản dịch vụ.</t>
  </si>
  <si>
    <t>Test case TC cho tất cả các loại giao dịch của cổng thanh toán</t>
  </si>
  <si>
    <t>Napas đang triển khai tính năng kiểm tra online tài khoản thụ hưởng trong giao dịch IBFT 1.0, 2.0 và liên thông 1.0 -2.0 với danh sách nghi ngờ tai bước truy vấn để cảnh báo tới KH. Việc triển khai sẽ yêu cầu bổ sung thông tin DE48 trong bước truy vấn trả về cho TCPL. Luồng giao dịch chuyển tiền không thay đổi. Bạn được yêu cầu xây dựng kịch bản kiểm thử để đảm bảo việc phát triển đúng yêu cầu và không ảnh hưởng đến dịch vụ đang chạy. Đâu là các tổ hợp các test case phù hợp để thực hiện kiểm thử:
1. Test giao dịch truy vấn thành công, chuyển tiền thành công cho giao dịch IBFT 1.0, 2.0 và liên thông 1.0 -2.0
2. Test full kịch bản truy vấn và test đại diên 1 giao dịch chuyển tiền thành công, 1 giao dịch chuyển tiền không thành cong cho các giao dịch IBFT 1.0 và 2.0
3. Test full kịch bản truy vấn và test đại diên 1 giao dịch chuyển tiền thành công, 1 giao dịch chuyển tiền không thành công cho các giao dịch  liên thống IBFT 1.0 - 2.0
4. Test full kịch bản truy vấn, chuyển tiền cho các  giao dịch IBFT 1.0, 2.0 và liên thông 1.0 -2.0</t>
  </si>
  <si>
    <t>(2), (3)</t>
  </si>
  <si>
    <t>(1), (2), (4)</t>
  </si>
  <si>
    <t>(1), (3)</t>
  </si>
  <si>
    <t>Napas đang triển khai tính năng thanh toán quốc tế mới cho phép các ngân hàng đối tác thực hiện thanh toán qua hệ thống của Napas. Tính năng này yêu cầu tích hợp với các hệ thống thanh toán quốc tế như SWIFT. Để đảm bảo tính ổn định và chất lượng hệ thống, Anh/Chị sẽ xây dựng kế hoạch kiểm thử như thế nào?
(1) Đánh giá các yêu cầu kỹ thuật của hệ thống và lập kế hoạch kiểm thử bao gồm kiểm thử tích hợp và hồi quy.
(2) Kiểm thử chỉ tập trung vào các tính năng của hệ thống Napas mà không cần xét đến các yêu cầu tích hợp từ các đối tác.
(3) Kiểm thử tính năng thanh toán quốc tế phải bao gồm kiểm thử hiệu suất và đảm bảo khả năng tương thích với các hệ thống của đối tác.
(4) Kiểm thử tính năng thanh toán quốc tế phải bao gồm các bài kiểm thử API, kiểm thử bảo mật và kiểm thử khả năng mở rộng của hệ thống.</t>
  </si>
  <si>
    <t>Trong kiểm thử ứng dụng thanh toán tại Napas, lỗi nào dưới đây có thể được đánh giá là nghiêm trọng (critical) cần xử lý ngay?</t>
  </si>
  <si>
    <t>Giao dịch chuyển tiền bị trừ tiền nhưng không ghi nhận tại người nhận</t>
  </si>
  <si>
    <t>Giao diện hiển thị bị sai màu ở một số trình duyệt</t>
  </si>
  <si>
    <t>Hệ thống không ghi log khi xảy ra lỗi nhỏ</t>
  </si>
  <si>
    <t>Một số thông báo hệ thống chưa hiển thị tiếng Việt</t>
  </si>
  <si>
    <t>Trong quá trình kiểm thử một giao dịch thanh toán, Anh/Chị phát hiện giao dịch bị lỗi nhưng không xác định được nguyên nhân cụ thể. Cách xử lý nào sau đây là phù hợp?</t>
  </si>
  <si>
    <t>Kiểm tra chi tiết giao dịch lỗi và chuyển cho bộ phận IT phân tích</t>
  </si>
  <si>
    <t>Ghi nhận lỗi là không hợp lệ vì không xác định được nguyên nhân.</t>
  </si>
  <si>
    <t>Bỏ qua lỗi này và tiếp tục kiểm thử các chức năng khác.</t>
  </si>
  <si>
    <t>Tạm dừng kiểm thử cho đến khi tìm được nguyên nhân chính xác.</t>
  </si>
  <si>
    <t>Trong một kịch bản kiểm thử hệ thống giám sát cảnh báo gian lận, hệ thống không gửi email cảnh báo cho người dùng. Nguyên nhân có thể là gì?</t>
  </si>
  <si>
    <t>Lỗi ở chức năng gửi email</t>
  </si>
  <si>
    <t>Hệ thống đang cấu hình sai quy tắc cảnh báo</t>
  </si>
  <si>
    <t>Cấu hình email nhận cảnh báo chưa đúng</t>
  </si>
  <si>
    <t>Trong quá trình kiểm thử giao dịch chuyển tiền liên ngân hàng giữa ngân hàng A và ngân hàng B, Anh/Chị phát hiện lỗi sau: Giao dịch chuyển tiền thực hiện thành công tại ngân hàng A và đã được Napas ghi nhận, tuy nhiên phía ngân hàng B không hiển thị giao dịch trong báo cáo đối soát cuối ngày. Mã giao dịch trong bản tin Napas khác định dạng so với ngân hàng B đang xử lý.
Đâu là nội dung mô tả lỗi phù hợp nhất cần ghi trong báo cáo kiểm thử?
(1) Ngân hàng B lỗi không nhận được giao dịch
(2) Giao dịch Ngân hàng A bị lỗi
(3) Ngân hàng B không tìm thấy giao dịch trong báo cáo đối soát
(4) Mã giao dịch trong bản tin Napas khác fomat so với mã giao dịch tại Ngân hàng B</t>
  </si>
  <si>
    <t>(1), (4)</t>
  </si>
  <si>
    <t>Trong quá trình kiểm thử hệ thống thanh toán, Anh/Chị phát hiện lỗi sau:
Khi người dùng thực hiện giao dịch chuyển tiền từ ngân hàng A đến ngân hàng B, nếu nhập nội dung chuyển tiền dài trên 150 ký tự thì hệ thống không hiển thị thông báo lỗi mà chuyển sang bước xác nhận, nhưng sau đó giao dịch bị từ chối ở hệ thống đối tác. Đâu là nội dung mô tả lỗi phù hợp nhất cần ghi trong báo cáo kiểm thử?</t>
  </si>
  <si>
    <t>Nhập nội dung chuyển tiền vượt quá 150 ký tự nhưng hệ thống vẫn chuyển sang bước xác nhận giao dịch.</t>
  </si>
  <si>
    <t>Giao dịch bị từ chối khi nhập nội dung chuyển tiền dài trên 150 ký tự, cần NHNL kiểm tra lại xử lý.</t>
  </si>
  <si>
    <t>Nhập nội dung chuyển khoản quá dài, hệ thống không cho phép thực hiện giao dịch.</t>
  </si>
  <si>
    <t>Giao dịch không thành công khi nhập nội dung chuyển tiền dài trên 150 ký tự</t>
  </si>
  <si>
    <t>Hệ thống không kiểm tra độ dài nội dung chuyển tiền đầu vào, dẫn đến từ chối giao dịch ở phía đối tác</t>
  </si>
  <si>
    <t xml:space="preserve">Giao dịch bị lỗi do hệ thống đối tác từ chối, cần kiểm tra lại cấu hình
</t>
  </si>
  <si>
    <t xml:space="preserve">Người dùng không được hướng dẫn cách nhập nội dung chuyển tiền
</t>
  </si>
  <si>
    <t>Ứng dụng không tương thích với hệ thống ngân hàng đối tác</t>
  </si>
  <si>
    <t>Anh/Chị kiểm thử dịch vụ đối soát giao dịch thẻ ATM giữa hai ngân hàng thành viên qua Napas. Hệ thống trả về báo cáo tổng số giao dịch là 95 trong khi kiểm thử mong đợi kết quả là 100. Sau khi loại trừ lỗi nhập liệu và xác nhận các giao dịch đều thành công, đâu là bước phân tích hợp lý nhất tiếp theo để xác định nguyên nhân?</t>
  </si>
  <si>
    <t>So sánh dữ liệu chi tiết của giao dịch giữa hai ngân hàng và dữ liệu ghi nhận tại Napas để xác định giao dịch bị thiếu</t>
  </si>
  <si>
    <t>Thực hiện kiểm tra báo cáo. chi tiết các giao dịch hiển thị trên báo cáo</t>
  </si>
  <si>
    <t>Thử kiểm thử lại với bộ dữ liệu mới để xem lỗi còn lặp lại hay không</t>
  </si>
  <si>
    <t>Tăng thời gian timeout của hệ thống và thực hiện lại với bộ dữ liệu kiểm thử cũ.</t>
  </si>
  <si>
    <t>Trong quá trình kiểm thử dịch vụ chuyển tiền qua Napas giữa ngân hàng A và ngân hàng B, Anh/Chị phát hiện giao dịch bị từ chối ở hệ thống đích do lỗi không rõ nguyên nhân. Nhật ký ghi nhận: mã phản hồi "05 - Do not honor", trong khi bản tin có trường số tiền đúng định dạng, số tài khoản hợp lệ, định tuyến đúng ngân hàng đích. Đâu là cách tiếp cận phù hợp để xác định nguyên nhân lỗi?</t>
  </si>
  <si>
    <t>Kiểm tra log của ngân hàng đích để phân tích chi tiết lý do từ chối theo mã lỗi.</t>
  </si>
  <si>
    <t>Yêu cầu người dùng thử lại giao dịch nhiều lần để xác định mẫu lỗi.</t>
  </si>
  <si>
    <t>Tạm thời ghi nhận giao dịch là thành công và đợi ngân hàng nhận lệnh xác nhận</t>
  </si>
  <si>
    <t>Tạm dừng kiểm thử và yêu cầu phát triển xử lý lại toàn bộ hệ thống.</t>
  </si>
  <si>
    <t>Trong quá trình kiểm thử,phát hiện hệ thống không ghi lại log khi có cảnh báo gian lận. Điều này ảnh hưởng đến:</t>
  </si>
  <si>
    <t>Khả năng phân tích và truy vết sau này</t>
  </si>
  <si>
    <t>Tốc độ xử lý giao dịch</t>
  </si>
  <si>
    <t>Tính năng gửi email</t>
  </si>
  <si>
    <t>Sau khi hệ thống giao dịch của Napas đã được triển khai thành công và hoạt động ổn định, Anh/Chị phát hiện một lỗi trong quá trình kiểm thử với các giao dịch có giá trị vượt quá 2 tỷ VND. Lỗi này chỉ xảy ra khi có sự thay đổi trong thông tin tài khoản của người dùng trước khi hoàn tất giao dịch. Hệ thống không phản hồi và bị gián đoạn. Trong tình huống này, Anh/Chị sẽ thực hiện những hành động nào để phân tích và khắc phục lỗi?</t>
  </si>
  <si>
    <t>Xem xét và phân tích các yêu cầu của hệ thống liên quan đến xử lý giao dịch có giá trị lớn, và tìm ra nguyên nhân của sự gián đoạn trong các giao dịch có thay đổi tài khoản.</t>
  </si>
  <si>
    <t>Hệ thống hóa báo cáo lỗi, đánh giá tác động của lỗi đến hệ thống và các dịch vụ liên quan, đặc biệt đối với các giao dịch có giá trị cao.</t>
  </si>
  <si>
    <t>Đề xuất các phương pháp kiểm thử bổ sung để đảm bảo tính toàn vẹn và sự ổn định của giao dịch khi có thay đổi trong thông tin tài khoản của người dùng.</t>
  </si>
  <si>
    <t>Đề xuất sửa lỗi ngay lập tức và yêu cầu các ngân hàng đối tác kiểm tra lại toàn bộ hệ thống của họ mà không cần phân tích lại các yếu tố tác động đến lỗi.</t>
  </si>
  <si>
    <t>Trong quá trình kiểm thử hệ thống thanh toán của Napas, Anh/Chị phát hiện ra rằng các lỗi liên quan đến giao dịch chuyển tiền từ hệ thống của Napas đến các hệ thống của ngân hàng đối tác không được phát hiện trong các kiểm thử trước đó. Lỗi này không xảy ra trong môi trường kiểm thử nhưng xảy ra khi hệ thống thực tế giao tiếp với các ngân hàng đối tác. Để cải thiện quy trình kiểm thử, Anh/Chị sẽ thực hiện các giải pháp gì?
(1) Đề xuất dừng toàn bộ quy trình kiểm thử và yêu cầu đội phát triển tái cấu trúc toàn bộ hệ thống mà không tiến hành phân tích kỹ càng.
(2) Phân tích nguyên nhân lỗi và xác định các yếu tố trong quy trình kiểm thử cần được điều chỉnh để phát hiện các vấn đề với giao tiếp giữa hệ thống của Napas và ngân hàng đối tác.
(3) Đề xuất cải tiến các bài kiểm thử để bao gồm các tình huống giao tiếp thực tế giữa hệ thống của Napas và các ngân hàng đối tác, với các dữ liệu thử nghiệm thực tế hơn.
(4) Xem xét lại các yêu cầu kỹ thuật giữa Napas và các ngân hàng đối tác, đảm bảo rằng tất cả các yêu cầu tương thích được kiểm tra đầy đủ trước khi triển khai.</t>
  </si>
  <si>
    <t>P13 - Kiểm soát chất lượng phát triển ứng dụng CNTT/SPDV</t>
  </si>
  <si>
    <t xml:space="preserve">Khi thực hiện kiểm thử tiêu chí giám sát, cánh báo gian lận giả mạo, việc kiểm thử sẽ được thực hiện các nội dung chính nào?
</t>
  </si>
  <si>
    <t>Anh/Chị đang kiểm thử  chức năng cài đặt danh sách thẻ đen, cần thực hiện test các trường hợp cài đặt không thành công nào?
(1) Nhập số thẻ không đủ độ dài
(2) Nhập số thẻ thừa độ dài
(3) Nhập ký tự gồm: chữ, và các ký tự đặc biệt</t>
  </si>
  <si>
    <t>Phương án 1</t>
  </si>
  <si>
    <t>Phương án 2</t>
  </si>
  <si>
    <t>Phương án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</si>
</sst>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64"/>
  <sheetViews>
    <sheetView showGridLines="0" zoomScale="70" zoomScaleNormal="70" workbookViewId="0">
      <selection activeCell="F6" sqref="F6:H9"/>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85546875" style="13" customWidth="1"/>
    <col min="13" max="16384" width="9" style="13"/>
  </cols>
  <sheetData>
    <row r="2" spans="2:10" ht="26.45" customHeight="1" x14ac:dyDescent="0.25">
      <c r="B2" s="14" t="s">
        <v>255</v>
      </c>
    </row>
    <row r="3" spans="2:10" ht="10.35" customHeight="1" x14ac:dyDescent="0.25">
      <c r="B3" s="14"/>
    </row>
    <row r="4" spans="2:10" ht="31.7" customHeight="1" outlineLevel="1" x14ac:dyDescent="0.25">
      <c r="B4" s="14"/>
      <c r="D4" s="18" t="s">
        <v>10</v>
      </c>
      <c r="E4" s="19" t="s">
        <v>11</v>
      </c>
      <c r="F4" s="20">
        <v>1</v>
      </c>
      <c r="G4" s="20">
        <v>2</v>
      </c>
      <c r="H4" s="20">
        <v>3</v>
      </c>
    </row>
    <row r="5" spans="2:10" ht="20.100000000000001" customHeight="1" outlineLevel="1" x14ac:dyDescent="0.25">
      <c r="B5" s="14"/>
      <c r="D5" s="19" t="s">
        <v>11</v>
      </c>
      <c r="E5" s="16">
        <f>SUM(E6:E9)</f>
        <v>51</v>
      </c>
      <c r="F5" s="17">
        <f>SUM(F6:F9)</f>
        <v>18</v>
      </c>
      <c r="G5" s="17">
        <f t="shared" ref="G5:H5" si="0">SUM(G6:G9)</f>
        <v>22</v>
      </c>
      <c r="H5" s="17">
        <f t="shared" si="0"/>
        <v>11</v>
      </c>
    </row>
    <row r="6" spans="2:10" ht="20.100000000000001" customHeight="1" outlineLevel="1" x14ac:dyDescent="0.25">
      <c r="B6" s="14"/>
      <c r="D6" s="20">
        <v>1</v>
      </c>
      <c r="E6" s="17">
        <f>SUM(F6:H6)</f>
        <v>16</v>
      </c>
      <c r="F6" s="21">
        <f>COUNTIFS($E$13:$E$200,$D6,$C$13:$C$200,F$4)</f>
        <v>7</v>
      </c>
      <c r="G6" s="21">
        <f t="shared" ref="G6:H9" si="1">COUNTIFS($E$13:$E$200,$D6,$C$13:$C$200,G$4)</f>
        <v>7</v>
      </c>
      <c r="H6" s="21">
        <f t="shared" si="1"/>
        <v>2</v>
      </c>
    </row>
    <row r="7" spans="2:10" ht="20.100000000000001" customHeight="1" outlineLevel="1" x14ac:dyDescent="0.25">
      <c r="B7" s="14"/>
      <c r="D7" s="20">
        <v>2</v>
      </c>
      <c r="E7" s="17">
        <f t="shared" ref="E7:E9" si="2">SUM(F7:H7)</f>
        <v>11</v>
      </c>
      <c r="F7" s="21">
        <f t="shared" ref="F7:F9" si="3">COUNTIFS($E$13:$E$200,$D7,$C$13:$C$200,F$4)</f>
        <v>3</v>
      </c>
      <c r="G7" s="21">
        <f t="shared" si="1"/>
        <v>4</v>
      </c>
      <c r="H7" s="21">
        <f t="shared" si="1"/>
        <v>4</v>
      </c>
    </row>
    <row r="8" spans="2:10" ht="20.100000000000001" customHeight="1" outlineLevel="1" x14ac:dyDescent="0.25">
      <c r="B8" s="14"/>
      <c r="D8" s="20">
        <v>3</v>
      </c>
      <c r="E8" s="17">
        <f t="shared" si="2"/>
        <v>15</v>
      </c>
      <c r="F8" s="21">
        <f t="shared" si="3"/>
        <v>5</v>
      </c>
      <c r="G8" s="21">
        <f t="shared" si="1"/>
        <v>7</v>
      </c>
      <c r="H8" s="21">
        <f t="shared" si="1"/>
        <v>3</v>
      </c>
    </row>
    <row r="9" spans="2:10" ht="20.100000000000001" customHeight="1" outlineLevel="1" x14ac:dyDescent="0.25">
      <c r="B9" s="14"/>
      <c r="D9" s="20">
        <v>4</v>
      </c>
      <c r="E9" s="17">
        <f t="shared" si="2"/>
        <v>9</v>
      </c>
      <c r="F9" s="21">
        <f t="shared" si="3"/>
        <v>3</v>
      </c>
      <c r="G9" s="21">
        <f t="shared" si="1"/>
        <v>4</v>
      </c>
      <c r="H9" s="21">
        <f t="shared" si="1"/>
        <v>2</v>
      </c>
    </row>
    <row r="10" spans="2:10" ht="6.75" customHeight="1" x14ac:dyDescent="0.25"/>
    <row r="11" spans="2:10" ht="19.350000000000001" customHeight="1" x14ac:dyDescent="0.25">
      <c r="B11" s="23" t="s">
        <v>0</v>
      </c>
      <c r="C11" s="23" t="s">
        <v>1</v>
      </c>
      <c r="D11" s="23" t="s">
        <v>2</v>
      </c>
      <c r="E11" s="23" t="s">
        <v>3</v>
      </c>
      <c r="F11" s="24" t="s">
        <v>8</v>
      </c>
      <c r="G11" s="22" t="s">
        <v>9</v>
      </c>
      <c r="H11" s="22"/>
      <c r="I11" s="22"/>
      <c r="J11" s="22"/>
    </row>
    <row r="12" spans="2:10" ht="19.350000000000001" customHeight="1" x14ac:dyDescent="0.25">
      <c r="B12" s="23"/>
      <c r="C12" s="23"/>
      <c r="D12" s="23"/>
      <c r="E12" s="23"/>
      <c r="F12" s="24"/>
      <c r="G12" s="6" t="s">
        <v>4</v>
      </c>
      <c r="H12" s="6" t="s">
        <v>5</v>
      </c>
      <c r="I12" s="6" t="s">
        <v>6</v>
      </c>
      <c r="J12" s="6" t="s">
        <v>7</v>
      </c>
    </row>
    <row r="13" spans="2:10" s="15" customFormat="1" ht="12" x14ac:dyDescent="0.2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0" ht="38.25" x14ac:dyDescent="0.25">
      <c r="B14" s="1">
        <f>ROW()-ROW($B$13)</f>
        <v>1</v>
      </c>
      <c r="C14" s="2">
        <v>1</v>
      </c>
      <c r="D14" s="3" t="s">
        <v>12</v>
      </c>
      <c r="E14" s="2">
        <v>1</v>
      </c>
      <c r="F14" s="5" t="s">
        <v>13</v>
      </c>
      <c r="G14" s="9" t="s">
        <v>14</v>
      </c>
      <c r="H14" s="7" t="s">
        <v>15</v>
      </c>
      <c r="I14" s="7" t="s">
        <v>16</v>
      </c>
      <c r="J14" s="7" t="s">
        <v>17</v>
      </c>
    </row>
    <row r="15" spans="2:10" ht="38.25" x14ac:dyDescent="0.25">
      <c r="B15" s="1">
        <f t="shared" ref="B15:B34" si="5">ROW()-ROW($B$13)</f>
        <v>2</v>
      </c>
      <c r="C15" s="2">
        <v>1</v>
      </c>
      <c r="D15" s="3" t="s">
        <v>12</v>
      </c>
      <c r="E15" s="2">
        <v>1</v>
      </c>
      <c r="F15" s="5" t="s">
        <v>18</v>
      </c>
      <c r="G15" s="10" t="s">
        <v>19</v>
      </c>
      <c r="H15" s="3" t="s">
        <v>20</v>
      </c>
      <c r="I15" s="3" t="s">
        <v>21</v>
      </c>
      <c r="J15" s="3" t="s">
        <v>22</v>
      </c>
    </row>
    <row r="16" spans="2:10" ht="89.25" x14ac:dyDescent="0.25">
      <c r="B16" s="1">
        <f t="shared" si="5"/>
        <v>3</v>
      </c>
      <c r="C16" s="2">
        <v>1</v>
      </c>
      <c r="D16" s="3" t="s">
        <v>12</v>
      </c>
      <c r="E16" s="2">
        <v>1</v>
      </c>
      <c r="F16" s="5" t="s">
        <v>23</v>
      </c>
      <c r="G16" s="10" t="s">
        <v>24</v>
      </c>
      <c r="H16" s="3" t="s">
        <v>25</v>
      </c>
      <c r="I16" s="3" t="s">
        <v>26</v>
      </c>
      <c r="J16" s="3" t="s">
        <v>27</v>
      </c>
    </row>
    <row r="17" spans="2:10" ht="102" x14ac:dyDescent="0.25">
      <c r="B17" s="1">
        <f t="shared" si="5"/>
        <v>4</v>
      </c>
      <c r="C17" s="2">
        <v>1</v>
      </c>
      <c r="D17" s="3" t="s">
        <v>12</v>
      </c>
      <c r="E17" s="2">
        <v>1</v>
      </c>
      <c r="F17" s="5" t="s">
        <v>28</v>
      </c>
      <c r="G17" s="10" t="s">
        <v>29</v>
      </c>
      <c r="H17" s="3" t="s">
        <v>30</v>
      </c>
      <c r="I17" s="3" t="s">
        <v>31</v>
      </c>
      <c r="J17" s="3" t="s">
        <v>32</v>
      </c>
    </row>
    <row r="18" spans="2:10" ht="38.25" x14ac:dyDescent="0.25">
      <c r="B18" s="1">
        <f t="shared" si="5"/>
        <v>5</v>
      </c>
      <c r="C18" s="2">
        <v>1</v>
      </c>
      <c r="D18" s="3" t="s">
        <v>12</v>
      </c>
      <c r="E18" s="2">
        <v>1</v>
      </c>
      <c r="F18" s="5" t="s">
        <v>33</v>
      </c>
      <c r="G18" s="10" t="s">
        <v>34</v>
      </c>
      <c r="H18" s="3" t="s">
        <v>35</v>
      </c>
      <c r="I18" s="3" t="s">
        <v>36</v>
      </c>
      <c r="J18" s="3" t="s">
        <v>37</v>
      </c>
    </row>
    <row r="19" spans="2:10" ht="51" x14ac:dyDescent="0.25">
      <c r="B19" s="1">
        <f t="shared" si="5"/>
        <v>6</v>
      </c>
      <c r="C19" s="2">
        <v>1</v>
      </c>
      <c r="D19" s="3" t="s">
        <v>12</v>
      </c>
      <c r="E19" s="2">
        <v>1</v>
      </c>
      <c r="F19" s="5" t="s">
        <v>38</v>
      </c>
      <c r="G19" s="10" t="s">
        <v>39</v>
      </c>
      <c r="H19" s="3" t="s">
        <v>40</v>
      </c>
      <c r="I19" s="3" t="s">
        <v>41</v>
      </c>
      <c r="J19" s="3" t="s">
        <v>42</v>
      </c>
    </row>
    <row r="20" spans="2:10" ht="51" x14ac:dyDescent="0.25">
      <c r="B20" s="1">
        <f t="shared" si="5"/>
        <v>7</v>
      </c>
      <c r="C20" s="2">
        <v>1</v>
      </c>
      <c r="D20" s="3" t="s">
        <v>12</v>
      </c>
      <c r="E20" s="2">
        <v>1</v>
      </c>
      <c r="F20" s="5" t="s">
        <v>43</v>
      </c>
      <c r="G20" s="10" t="s">
        <v>44</v>
      </c>
      <c r="H20" s="3" t="s">
        <v>45</v>
      </c>
      <c r="I20" s="3" t="s">
        <v>46</v>
      </c>
      <c r="J20" s="3" t="s">
        <v>47</v>
      </c>
    </row>
    <row r="21" spans="2:10" ht="38.25" x14ac:dyDescent="0.25">
      <c r="B21" s="1">
        <f t="shared" si="5"/>
        <v>8</v>
      </c>
      <c r="C21" s="2">
        <v>1</v>
      </c>
      <c r="D21" s="3" t="s">
        <v>12</v>
      </c>
      <c r="E21" s="2">
        <v>2</v>
      </c>
      <c r="F21" s="5" t="s">
        <v>48</v>
      </c>
      <c r="G21" s="10" t="s">
        <v>49</v>
      </c>
      <c r="H21" s="3" t="s">
        <v>50</v>
      </c>
      <c r="I21" s="3" t="s">
        <v>51</v>
      </c>
      <c r="J21" s="3" t="s">
        <v>52</v>
      </c>
    </row>
    <row r="22" spans="2:10" ht="38.25" x14ac:dyDescent="0.25">
      <c r="B22" s="1">
        <f t="shared" si="5"/>
        <v>9</v>
      </c>
      <c r="C22" s="2">
        <v>1</v>
      </c>
      <c r="D22" s="3" t="s">
        <v>12</v>
      </c>
      <c r="E22" s="2">
        <v>2</v>
      </c>
      <c r="F22" s="5" t="s">
        <v>53</v>
      </c>
      <c r="G22" s="11" t="s">
        <v>54</v>
      </c>
      <c r="H22" s="8" t="s">
        <v>55</v>
      </c>
      <c r="I22" s="8" t="s">
        <v>56</v>
      </c>
      <c r="J22" s="8" t="s">
        <v>57</v>
      </c>
    </row>
    <row r="23" spans="2:10" ht="38.25" x14ac:dyDescent="0.25">
      <c r="B23" s="1">
        <f t="shared" si="5"/>
        <v>10</v>
      </c>
      <c r="C23" s="2">
        <v>1</v>
      </c>
      <c r="D23" s="3" t="s">
        <v>12</v>
      </c>
      <c r="E23" s="2">
        <v>2</v>
      </c>
      <c r="F23" s="5" t="s">
        <v>58</v>
      </c>
      <c r="G23" s="11" t="s">
        <v>59</v>
      </c>
      <c r="H23" s="8" t="s">
        <v>60</v>
      </c>
      <c r="I23" s="8" t="s">
        <v>61</v>
      </c>
      <c r="J23" s="8" t="s">
        <v>62</v>
      </c>
    </row>
    <row r="24" spans="2:10" ht="102" x14ac:dyDescent="0.25">
      <c r="B24" s="1">
        <f t="shared" si="5"/>
        <v>11</v>
      </c>
      <c r="C24" s="2">
        <v>1</v>
      </c>
      <c r="D24" s="3" t="s">
        <v>12</v>
      </c>
      <c r="E24" s="2">
        <v>3</v>
      </c>
      <c r="F24" s="5" t="s">
        <v>63</v>
      </c>
      <c r="G24" s="11" t="s">
        <v>64</v>
      </c>
      <c r="H24" s="8" t="s">
        <v>65</v>
      </c>
      <c r="I24" s="8" t="s">
        <v>66</v>
      </c>
      <c r="J24" s="8" t="s">
        <v>67</v>
      </c>
    </row>
    <row r="25" spans="2:10" ht="102" x14ac:dyDescent="0.25">
      <c r="B25" s="1">
        <f t="shared" si="5"/>
        <v>12</v>
      </c>
      <c r="C25" s="2">
        <v>1</v>
      </c>
      <c r="D25" s="3" t="s">
        <v>12</v>
      </c>
      <c r="E25" s="2">
        <v>3</v>
      </c>
      <c r="F25" s="5" t="s">
        <v>68</v>
      </c>
      <c r="G25" s="11" t="s">
        <v>69</v>
      </c>
      <c r="H25" s="8" t="s">
        <v>70</v>
      </c>
      <c r="I25" s="8" t="s">
        <v>71</v>
      </c>
      <c r="J25" s="8" t="s">
        <v>72</v>
      </c>
    </row>
    <row r="26" spans="2:10" ht="38.25" x14ac:dyDescent="0.25">
      <c r="B26" s="1">
        <f t="shared" si="5"/>
        <v>13</v>
      </c>
      <c r="C26" s="2">
        <v>1</v>
      </c>
      <c r="D26" s="3" t="s">
        <v>12</v>
      </c>
      <c r="E26" s="2">
        <v>3</v>
      </c>
      <c r="F26" s="5" t="s">
        <v>73</v>
      </c>
      <c r="G26" s="10" t="s">
        <v>74</v>
      </c>
      <c r="H26" s="3" t="s">
        <v>75</v>
      </c>
      <c r="I26" s="3" t="s">
        <v>76</v>
      </c>
      <c r="J26" s="3" t="s">
        <v>77</v>
      </c>
    </row>
    <row r="27" spans="2:10" ht="89.25" x14ac:dyDescent="0.25">
      <c r="B27" s="1">
        <f t="shared" si="5"/>
        <v>14</v>
      </c>
      <c r="C27" s="2">
        <v>1</v>
      </c>
      <c r="D27" s="3" t="s">
        <v>12</v>
      </c>
      <c r="E27" s="2">
        <v>3</v>
      </c>
      <c r="F27" s="5" t="s">
        <v>78</v>
      </c>
      <c r="G27" s="10" t="s">
        <v>79</v>
      </c>
      <c r="H27" s="3" t="s">
        <v>80</v>
      </c>
      <c r="I27" s="3" t="s">
        <v>81</v>
      </c>
      <c r="J27" s="3" t="s">
        <v>82</v>
      </c>
    </row>
    <row r="28" spans="2:10" ht="102" x14ac:dyDescent="0.25">
      <c r="B28" s="1">
        <f t="shared" si="5"/>
        <v>15</v>
      </c>
      <c r="C28" s="2">
        <v>1</v>
      </c>
      <c r="D28" s="3" t="s">
        <v>12</v>
      </c>
      <c r="E28" s="2">
        <v>3</v>
      </c>
      <c r="F28" s="5" t="s">
        <v>83</v>
      </c>
      <c r="G28" s="10" t="s">
        <v>84</v>
      </c>
      <c r="H28" s="3" t="s">
        <v>85</v>
      </c>
      <c r="I28" s="3" t="s">
        <v>86</v>
      </c>
      <c r="J28" s="3" t="s">
        <v>87</v>
      </c>
    </row>
    <row r="29" spans="2:10" ht="153" x14ac:dyDescent="0.25">
      <c r="B29" s="1">
        <f t="shared" si="5"/>
        <v>16</v>
      </c>
      <c r="C29" s="2">
        <v>1</v>
      </c>
      <c r="D29" s="3" t="s">
        <v>12</v>
      </c>
      <c r="E29" s="2">
        <v>4</v>
      </c>
      <c r="F29" s="5" t="s">
        <v>88</v>
      </c>
      <c r="G29" s="10" t="s">
        <v>89</v>
      </c>
      <c r="H29" s="3" t="s">
        <v>90</v>
      </c>
      <c r="I29" s="3" t="s">
        <v>91</v>
      </c>
      <c r="J29" s="3" t="s">
        <v>92</v>
      </c>
    </row>
    <row r="30" spans="2:10" ht="127.5" x14ac:dyDescent="0.25">
      <c r="B30" s="1">
        <f t="shared" si="5"/>
        <v>17</v>
      </c>
      <c r="C30" s="2">
        <v>1</v>
      </c>
      <c r="D30" s="3" t="s">
        <v>12</v>
      </c>
      <c r="E30" s="2">
        <v>4</v>
      </c>
      <c r="F30" s="5" t="s">
        <v>93</v>
      </c>
      <c r="G30" s="10" t="s">
        <v>94</v>
      </c>
      <c r="H30" s="3" t="s">
        <v>95</v>
      </c>
      <c r="I30" s="3" t="s">
        <v>96</v>
      </c>
      <c r="J30" s="3" t="s">
        <v>97</v>
      </c>
    </row>
    <row r="31" spans="2:10" ht="178.5" x14ac:dyDescent="0.25">
      <c r="B31" s="1">
        <f t="shared" si="5"/>
        <v>18</v>
      </c>
      <c r="C31" s="2">
        <v>1</v>
      </c>
      <c r="D31" s="3" t="s">
        <v>12</v>
      </c>
      <c r="E31" s="2">
        <v>4</v>
      </c>
      <c r="F31" s="5" t="s">
        <v>98</v>
      </c>
      <c r="G31" s="10" t="s">
        <v>99</v>
      </c>
      <c r="H31" s="3" t="s">
        <v>100</v>
      </c>
      <c r="I31" s="3" t="s">
        <v>101</v>
      </c>
      <c r="J31" s="3" t="s">
        <v>102</v>
      </c>
    </row>
    <row r="32" spans="2:10" ht="63.75" x14ac:dyDescent="0.25">
      <c r="B32" s="1">
        <f t="shared" si="5"/>
        <v>19</v>
      </c>
      <c r="C32" s="2">
        <v>2</v>
      </c>
      <c r="D32" s="3" t="s">
        <v>103</v>
      </c>
      <c r="E32" s="2">
        <v>1</v>
      </c>
      <c r="F32" s="5" t="s">
        <v>104</v>
      </c>
      <c r="G32" s="9" t="s">
        <v>105</v>
      </c>
      <c r="H32" s="7" t="s">
        <v>106</v>
      </c>
      <c r="I32" s="7" t="s">
        <v>107</v>
      </c>
      <c r="J32" s="7" t="s">
        <v>108</v>
      </c>
    </row>
    <row r="33" spans="2:10" ht="63.75" x14ac:dyDescent="0.25">
      <c r="B33" s="1">
        <f t="shared" si="5"/>
        <v>20</v>
      </c>
      <c r="C33" s="2">
        <v>2</v>
      </c>
      <c r="D33" s="3" t="s">
        <v>103</v>
      </c>
      <c r="E33" s="2">
        <v>1</v>
      </c>
      <c r="F33" s="5" t="s">
        <v>109</v>
      </c>
      <c r="G33" s="10" t="s">
        <v>110</v>
      </c>
      <c r="H33" s="3" t="s">
        <v>111</v>
      </c>
      <c r="I33" s="3" t="s">
        <v>112</v>
      </c>
      <c r="J33" s="3" t="s">
        <v>113</v>
      </c>
    </row>
    <row r="34" spans="2:10" ht="102" x14ac:dyDescent="0.25">
      <c r="B34" s="1">
        <f t="shared" si="5"/>
        <v>21</v>
      </c>
      <c r="C34" s="2">
        <v>2</v>
      </c>
      <c r="D34" s="3" t="s">
        <v>103</v>
      </c>
      <c r="E34" s="2">
        <v>1</v>
      </c>
      <c r="F34" s="5" t="s">
        <v>114</v>
      </c>
      <c r="G34" s="10" t="s">
        <v>115</v>
      </c>
      <c r="H34" s="3" t="s">
        <v>116</v>
      </c>
      <c r="I34" s="3" t="s">
        <v>117</v>
      </c>
      <c r="J34" s="3" t="s">
        <v>118</v>
      </c>
    </row>
    <row r="35" spans="2:10" ht="89.25" x14ac:dyDescent="0.25">
      <c r="B35" s="1">
        <f>ROW()-ROW($B$13)</f>
        <v>22</v>
      </c>
      <c r="C35" s="2">
        <v>2</v>
      </c>
      <c r="D35" s="3" t="s">
        <v>103</v>
      </c>
      <c r="E35" s="2">
        <v>1</v>
      </c>
      <c r="F35" s="5" t="s">
        <v>119</v>
      </c>
      <c r="G35" s="9" t="s">
        <v>120</v>
      </c>
      <c r="H35" s="7" t="s">
        <v>121</v>
      </c>
      <c r="I35" s="7" t="s">
        <v>122</v>
      </c>
      <c r="J35" s="7" t="s">
        <v>123</v>
      </c>
    </row>
    <row r="36" spans="2:10" ht="63.75" x14ac:dyDescent="0.25">
      <c r="B36" s="1">
        <f t="shared" ref="B36:B55" si="6">ROW()-ROW($B$13)</f>
        <v>23</v>
      </c>
      <c r="C36" s="2">
        <v>2</v>
      </c>
      <c r="D36" s="3" t="s">
        <v>103</v>
      </c>
      <c r="E36" s="2">
        <v>1</v>
      </c>
      <c r="F36" s="5" t="s">
        <v>124</v>
      </c>
      <c r="G36" s="10" t="s">
        <v>125</v>
      </c>
      <c r="H36" s="3" t="s">
        <v>126</v>
      </c>
      <c r="I36" s="3" t="s">
        <v>127</v>
      </c>
      <c r="J36" s="3" t="s">
        <v>128</v>
      </c>
    </row>
    <row r="37" spans="2:10" ht="63.75" x14ac:dyDescent="0.25">
      <c r="B37" s="1">
        <f t="shared" si="6"/>
        <v>24</v>
      </c>
      <c r="C37" s="2">
        <v>2</v>
      </c>
      <c r="D37" s="3" t="s">
        <v>103</v>
      </c>
      <c r="E37" s="2">
        <v>1</v>
      </c>
      <c r="F37" s="5" t="s">
        <v>129</v>
      </c>
      <c r="G37" s="10" t="s">
        <v>130</v>
      </c>
      <c r="H37" s="3" t="s">
        <v>131</v>
      </c>
      <c r="I37" s="3" t="s">
        <v>132</v>
      </c>
      <c r="J37" s="3" t="s">
        <v>133</v>
      </c>
    </row>
    <row r="38" spans="2:10" ht="76.5" x14ac:dyDescent="0.25">
      <c r="B38" s="1">
        <f t="shared" si="6"/>
        <v>25</v>
      </c>
      <c r="C38" s="2">
        <v>2</v>
      </c>
      <c r="D38" s="3" t="s">
        <v>103</v>
      </c>
      <c r="E38" s="2">
        <v>1</v>
      </c>
      <c r="F38" s="5" t="s">
        <v>134</v>
      </c>
      <c r="G38" s="10" t="s">
        <v>135</v>
      </c>
      <c r="H38" s="3" t="s">
        <v>136</v>
      </c>
      <c r="I38" s="3" t="s">
        <v>137</v>
      </c>
      <c r="J38" s="3" t="s">
        <v>138</v>
      </c>
    </row>
    <row r="39" spans="2:10" ht="89.25" x14ac:dyDescent="0.25">
      <c r="B39" s="1">
        <f t="shared" si="6"/>
        <v>26</v>
      </c>
      <c r="C39" s="2">
        <v>2</v>
      </c>
      <c r="D39" s="3" t="s">
        <v>103</v>
      </c>
      <c r="E39" s="2">
        <v>2</v>
      </c>
      <c r="F39" s="5" t="s">
        <v>139</v>
      </c>
      <c r="G39" s="10" t="s">
        <v>140</v>
      </c>
      <c r="H39" s="3" t="s">
        <v>141</v>
      </c>
      <c r="I39" s="3" t="s">
        <v>142</v>
      </c>
      <c r="J39" s="3" t="s">
        <v>143</v>
      </c>
    </row>
    <row r="40" spans="2:10" ht="63.75" x14ac:dyDescent="0.25">
      <c r="B40" s="1">
        <f t="shared" si="6"/>
        <v>27</v>
      </c>
      <c r="C40" s="2">
        <v>2</v>
      </c>
      <c r="D40" s="3" t="s">
        <v>103</v>
      </c>
      <c r="E40" s="2">
        <v>2</v>
      </c>
      <c r="F40" s="5" t="s">
        <v>144</v>
      </c>
      <c r="G40" s="10" t="s">
        <v>145</v>
      </c>
      <c r="H40" s="3" t="s">
        <v>146</v>
      </c>
      <c r="I40" s="3" t="s">
        <v>147</v>
      </c>
      <c r="J40" s="3" t="s">
        <v>148</v>
      </c>
    </row>
    <row r="41" spans="2:10" ht="63.75" x14ac:dyDescent="0.25">
      <c r="B41" s="1">
        <f t="shared" si="6"/>
        <v>28</v>
      </c>
      <c r="C41" s="2">
        <v>2</v>
      </c>
      <c r="D41" s="3" t="s">
        <v>103</v>
      </c>
      <c r="E41" s="2">
        <v>2</v>
      </c>
      <c r="F41" s="5" t="s">
        <v>149</v>
      </c>
      <c r="G41" s="10" t="s">
        <v>150</v>
      </c>
      <c r="H41" s="3" t="s">
        <v>151</v>
      </c>
      <c r="I41" s="3" t="s">
        <v>152</v>
      </c>
      <c r="J41" s="3" t="s">
        <v>153</v>
      </c>
    </row>
    <row r="42" spans="2:10" ht="76.5" x14ac:dyDescent="0.25">
      <c r="B42" s="1">
        <f t="shared" si="6"/>
        <v>29</v>
      </c>
      <c r="C42" s="2">
        <v>2</v>
      </c>
      <c r="D42" s="3" t="s">
        <v>103</v>
      </c>
      <c r="E42" s="2">
        <v>2</v>
      </c>
      <c r="F42" s="5" t="s">
        <v>154</v>
      </c>
      <c r="G42" s="10" t="s">
        <v>155</v>
      </c>
      <c r="H42" s="3" t="s">
        <v>156</v>
      </c>
      <c r="I42" s="3" t="s">
        <v>157</v>
      </c>
      <c r="J42" s="3" t="s">
        <v>158</v>
      </c>
    </row>
    <row r="43" spans="2:10" ht="63.75" x14ac:dyDescent="0.25">
      <c r="B43" s="1">
        <f t="shared" si="6"/>
        <v>30</v>
      </c>
      <c r="C43" s="2">
        <v>2</v>
      </c>
      <c r="D43" s="3" t="s">
        <v>103</v>
      </c>
      <c r="E43" s="2">
        <v>3</v>
      </c>
      <c r="F43" s="5" t="s">
        <v>159</v>
      </c>
      <c r="G43" s="11" t="s">
        <v>160</v>
      </c>
      <c r="H43" s="8" t="s">
        <v>161</v>
      </c>
      <c r="I43" s="8" t="s">
        <v>162</v>
      </c>
      <c r="J43" s="8" t="s">
        <v>163</v>
      </c>
    </row>
    <row r="44" spans="2:10" ht="76.5" x14ac:dyDescent="0.25">
      <c r="B44" s="1">
        <f t="shared" si="6"/>
        <v>31</v>
      </c>
      <c r="C44" s="2">
        <v>2</v>
      </c>
      <c r="D44" s="3" t="s">
        <v>103</v>
      </c>
      <c r="E44" s="2">
        <v>3</v>
      </c>
      <c r="F44" s="5" t="s">
        <v>164</v>
      </c>
      <c r="G44" s="11" t="s">
        <v>165</v>
      </c>
      <c r="H44" s="8" t="s">
        <v>166</v>
      </c>
      <c r="I44" s="8" t="s">
        <v>167</v>
      </c>
      <c r="J44" s="8" t="s">
        <v>168</v>
      </c>
    </row>
    <row r="45" spans="2:10" ht="89.25" x14ac:dyDescent="0.25">
      <c r="B45" s="1">
        <f t="shared" si="6"/>
        <v>32</v>
      </c>
      <c r="C45" s="2">
        <v>2</v>
      </c>
      <c r="D45" s="3" t="s">
        <v>103</v>
      </c>
      <c r="E45" s="2">
        <v>3</v>
      </c>
      <c r="F45" s="5" t="s">
        <v>169</v>
      </c>
      <c r="G45" s="11" t="s">
        <v>170</v>
      </c>
      <c r="H45" s="8" t="s">
        <v>171</v>
      </c>
      <c r="I45" s="8" t="s">
        <v>172</v>
      </c>
      <c r="J45" s="8" t="s">
        <v>173</v>
      </c>
    </row>
    <row r="46" spans="2:10" ht="76.5" x14ac:dyDescent="0.25">
      <c r="B46" s="1">
        <f t="shared" si="6"/>
        <v>33</v>
      </c>
      <c r="C46" s="2">
        <v>2</v>
      </c>
      <c r="D46" s="3" t="s">
        <v>103</v>
      </c>
      <c r="E46" s="2">
        <v>3</v>
      </c>
      <c r="F46" s="5" t="s">
        <v>174</v>
      </c>
      <c r="G46" s="11" t="s">
        <v>175</v>
      </c>
      <c r="H46" s="8" t="s">
        <v>176</v>
      </c>
      <c r="I46" s="8" t="s">
        <v>177</v>
      </c>
      <c r="J46" s="8" t="s">
        <v>178</v>
      </c>
    </row>
    <row r="47" spans="2:10" ht="63.75" x14ac:dyDescent="0.25">
      <c r="B47" s="1">
        <f t="shared" si="6"/>
        <v>34</v>
      </c>
      <c r="C47" s="2">
        <v>2</v>
      </c>
      <c r="D47" s="3" t="s">
        <v>103</v>
      </c>
      <c r="E47" s="2">
        <v>3</v>
      </c>
      <c r="F47" s="5" t="s">
        <v>179</v>
      </c>
      <c r="G47" s="10" t="s">
        <v>180</v>
      </c>
      <c r="H47" s="3" t="s">
        <v>181</v>
      </c>
      <c r="I47" s="3" t="s">
        <v>182</v>
      </c>
      <c r="J47" s="3" t="s">
        <v>183</v>
      </c>
    </row>
    <row r="48" spans="2:10" ht="63.75" x14ac:dyDescent="0.25">
      <c r="B48" s="1">
        <f t="shared" si="6"/>
        <v>35</v>
      </c>
      <c r="C48" s="2">
        <v>2</v>
      </c>
      <c r="D48" s="3" t="s">
        <v>103</v>
      </c>
      <c r="E48" s="2">
        <v>3</v>
      </c>
      <c r="F48" s="5" t="s">
        <v>184</v>
      </c>
      <c r="G48" s="10" t="s">
        <v>185</v>
      </c>
      <c r="H48" s="3" t="s">
        <v>186</v>
      </c>
      <c r="I48" s="3" t="s">
        <v>187</v>
      </c>
      <c r="J48" s="3" t="s">
        <v>188</v>
      </c>
    </row>
    <row r="49" spans="2:10" ht="63.75" x14ac:dyDescent="0.25">
      <c r="B49" s="1">
        <f t="shared" si="6"/>
        <v>36</v>
      </c>
      <c r="C49" s="2">
        <v>2</v>
      </c>
      <c r="D49" s="3" t="s">
        <v>103</v>
      </c>
      <c r="E49" s="2">
        <v>3</v>
      </c>
      <c r="F49" s="5" t="s">
        <v>189</v>
      </c>
      <c r="G49" s="10" t="s">
        <v>190</v>
      </c>
      <c r="H49" s="3" t="s">
        <v>191</v>
      </c>
      <c r="I49" s="3" t="s">
        <v>192</v>
      </c>
      <c r="J49" s="3" t="s">
        <v>193</v>
      </c>
    </row>
    <row r="50" spans="2:10" ht="306" x14ac:dyDescent="0.25">
      <c r="B50" s="1">
        <f t="shared" si="6"/>
        <v>37</v>
      </c>
      <c r="C50" s="2">
        <v>2</v>
      </c>
      <c r="D50" s="3" t="s">
        <v>103</v>
      </c>
      <c r="E50" s="2">
        <v>4</v>
      </c>
      <c r="F50" s="5" t="s">
        <v>195</v>
      </c>
      <c r="G50" s="10" t="s">
        <v>196</v>
      </c>
      <c r="H50" s="3" t="s">
        <v>197</v>
      </c>
      <c r="I50" s="3" t="s">
        <v>198</v>
      </c>
      <c r="J50" s="3" t="s">
        <v>199</v>
      </c>
    </row>
    <row r="51" spans="2:10" ht="127.5" x14ac:dyDescent="0.25">
      <c r="B51" s="1">
        <f t="shared" si="6"/>
        <v>38</v>
      </c>
      <c r="C51" s="2">
        <v>2</v>
      </c>
      <c r="D51" s="3" t="s">
        <v>103</v>
      </c>
      <c r="E51" s="2">
        <v>4</v>
      </c>
      <c r="F51" s="5" t="s">
        <v>200</v>
      </c>
      <c r="G51" s="10" t="s">
        <v>201</v>
      </c>
      <c r="H51" s="3" t="s">
        <v>202</v>
      </c>
      <c r="I51" s="3" t="s">
        <v>203</v>
      </c>
      <c r="J51" s="3" t="s">
        <v>204</v>
      </c>
    </row>
    <row r="52" spans="2:10" ht="318.75" x14ac:dyDescent="0.25">
      <c r="B52" s="1">
        <f t="shared" si="6"/>
        <v>39</v>
      </c>
      <c r="C52" s="2">
        <v>2</v>
      </c>
      <c r="D52" s="3" t="s">
        <v>103</v>
      </c>
      <c r="E52" s="2">
        <v>4</v>
      </c>
      <c r="F52" s="5" t="s">
        <v>205</v>
      </c>
      <c r="G52" s="10" t="s">
        <v>206</v>
      </c>
      <c r="H52" s="3" t="s">
        <v>207</v>
      </c>
      <c r="I52" s="3" t="s">
        <v>198</v>
      </c>
      <c r="J52" s="3" t="s">
        <v>208</v>
      </c>
    </row>
    <row r="53" spans="2:10" ht="255" x14ac:dyDescent="0.25">
      <c r="B53" s="1">
        <f t="shared" si="6"/>
        <v>40</v>
      </c>
      <c r="C53" s="2">
        <v>2</v>
      </c>
      <c r="D53" s="3" t="s">
        <v>103</v>
      </c>
      <c r="E53" s="2">
        <v>4</v>
      </c>
      <c r="F53" s="5" t="s">
        <v>209</v>
      </c>
      <c r="G53" s="9" t="s">
        <v>199</v>
      </c>
      <c r="H53" s="7" t="s">
        <v>207</v>
      </c>
      <c r="I53" s="7" t="s">
        <v>198</v>
      </c>
      <c r="J53" s="7" t="s">
        <v>197</v>
      </c>
    </row>
    <row r="54" spans="2:10" ht="63.75" x14ac:dyDescent="0.25">
      <c r="B54" s="1">
        <f t="shared" si="6"/>
        <v>41</v>
      </c>
      <c r="C54" s="2">
        <v>3</v>
      </c>
      <c r="D54" s="3" t="s">
        <v>194</v>
      </c>
      <c r="E54" s="2">
        <v>1</v>
      </c>
      <c r="F54" s="5" t="s">
        <v>210</v>
      </c>
      <c r="G54" s="10" t="s">
        <v>211</v>
      </c>
      <c r="H54" s="3" t="s">
        <v>212</v>
      </c>
      <c r="I54" s="3" t="s">
        <v>213</v>
      </c>
      <c r="J54" s="3" t="s">
        <v>214</v>
      </c>
    </row>
    <row r="55" spans="2:10" ht="63.75" x14ac:dyDescent="0.25">
      <c r="B55" s="1">
        <f t="shared" si="6"/>
        <v>42</v>
      </c>
      <c r="C55" s="2">
        <v>3</v>
      </c>
      <c r="D55" s="3" t="s">
        <v>194</v>
      </c>
      <c r="E55" s="2">
        <v>1</v>
      </c>
      <c r="F55" s="5" t="s">
        <v>215</v>
      </c>
      <c r="G55" s="10" t="s">
        <v>216</v>
      </c>
      <c r="H55" s="3" t="s">
        <v>217</v>
      </c>
      <c r="I55" s="3" t="s">
        <v>218</v>
      </c>
      <c r="J55" s="3" t="s">
        <v>219</v>
      </c>
    </row>
    <row r="56" spans="2:10" ht="63.75" x14ac:dyDescent="0.25">
      <c r="B56" s="1">
        <f>ROW()-ROW($B$13)</f>
        <v>43</v>
      </c>
      <c r="C56" s="2">
        <v>3</v>
      </c>
      <c r="D56" s="3" t="s">
        <v>194</v>
      </c>
      <c r="E56" s="2">
        <v>2</v>
      </c>
      <c r="F56" s="5" t="s">
        <v>220</v>
      </c>
      <c r="G56" s="9" t="s">
        <v>178</v>
      </c>
      <c r="H56" s="7" t="s">
        <v>221</v>
      </c>
      <c r="I56" s="7" t="s">
        <v>222</v>
      </c>
      <c r="J56" s="7" t="s">
        <v>223</v>
      </c>
    </row>
    <row r="57" spans="2:10" ht="204" x14ac:dyDescent="0.25">
      <c r="B57" s="1">
        <f t="shared" ref="B57:B64" si="7">ROW()-ROW($B$13)</f>
        <v>44</v>
      </c>
      <c r="C57" s="2">
        <v>3</v>
      </c>
      <c r="D57" s="3" t="s">
        <v>194</v>
      </c>
      <c r="E57" s="2">
        <v>2</v>
      </c>
      <c r="F57" s="5" t="s">
        <v>224</v>
      </c>
      <c r="G57" s="10" t="s">
        <v>199</v>
      </c>
      <c r="H57" s="3" t="s">
        <v>198</v>
      </c>
      <c r="I57" s="3" t="s">
        <v>197</v>
      </c>
      <c r="J57" s="3" t="s">
        <v>225</v>
      </c>
    </row>
    <row r="58" spans="2:10" ht="114.75" x14ac:dyDescent="0.25">
      <c r="B58" s="1">
        <f t="shared" si="7"/>
        <v>45</v>
      </c>
      <c r="C58" s="2">
        <v>3</v>
      </c>
      <c r="D58" s="3" t="s">
        <v>194</v>
      </c>
      <c r="E58" s="2">
        <v>2</v>
      </c>
      <c r="F58" s="5" t="s">
        <v>226</v>
      </c>
      <c r="G58" s="10" t="s">
        <v>227</v>
      </c>
      <c r="H58" s="3" t="s">
        <v>228</v>
      </c>
      <c r="I58" s="3" t="s">
        <v>229</v>
      </c>
      <c r="J58" s="3" t="s">
        <v>230</v>
      </c>
    </row>
    <row r="59" spans="2:10" ht="114.75" x14ac:dyDescent="0.25">
      <c r="B59" s="1">
        <f t="shared" si="7"/>
        <v>46</v>
      </c>
      <c r="C59" s="2">
        <v>3</v>
      </c>
      <c r="D59" s="3" t="s">
        <v>194</v>
      </c>
      <c r="E59" s="2">
        <v>2</v>
      </c>
      <c r="F59" s="5" t="s">
        <v>226</v>
      </c>
      <c r="G59" s="10" t="s">
        <v>231</v>
      </c>
      <c r="H59" s="3" t="s">
        <v>232</v>
      </c>
      <c r="I59" s="3" t="s">
        <v>233</v>
      </c>
      <c r="J59" s="3" t="s">
        <v>234</v>
      </c>
    </row>
    <row r="60" spans="2:10" ht="89.25" x14ac:dyDescent="0.25">
      <c r="B60" s="1">
        <f t="shared" si="7"/>
        <v>47</v>
      </c>
      <c r="C60" s="2">
        <v>3</v>
      </c>
      <c r="D60" s="3" t="s">
        <v>194</v>
      </c>
      <c r="E60" s="2">
        <v>3</v>
      </c>
      <c r="F60" s="5" t="s">
        <v>235</v>
      </c>
      <c r="G60" s="10" t="s">
        <v>236</v>
      </c>
      <c r="H60" s="3" t="s">
        <v>237</v>
      </c>
      <c r="I60" s="3" t="s">
        <v>238</v>
      </c>
      <c r="J60" s="3" t="s">
        <v>239</v>
      </c>
    </row>
    <row r="61" spans="2:10" ht="102" x14ac:dyDescent="0.25">
      <c r="B61" s="1">
        <f t="shared" si="7"/>
        <v>48</v>
      </c>
      <c r="C61" s="2">
        <v>3</v>
      </c>
      <c r="D61" s="3" t="s">
        <v>194</v>
      </c>
      <c r="E61" s="2">
        <v>3</v>
      </c>
      <c r="F61" s="5" t="s">
        <v>240</v>
      </c>
      <c r="G61" s="10" t="s">
        <v>241</v>
      </c>
      <c r="H61" s="3" t="s">
        <v>242</v>
      </c>
      <c r="I61" s="3" t="s">
        <v>243</v>
      </c>
      <c r="J61" s="3" t="s">
        <v>244</v>
      </c>
    </row>
    <row r="62" spans="2:10" ht="63.75" x14ac:dyDescent="0.25">
      <c r="B62" s="1">
        <f t="shared" si="7"/>
        <v>49</v>
      </c>
      <c r="C62" s="2">
        <v>3</v>
      </c>
      <c r="D62" s="3" t="s">
        <v>194</v>
      </c>
      <c r="E62" s="2">
        <v>3</v>
      </c>
      <c r="F62" s="5" t="s">
        <v>245</v>
      </c>
      <c r="G62" s="10" t="s">
        <v>246</v>
      </c>
      <c r="H62" s="3" t="s">
        <v>76</v>
      </c>
      <c r="I62" s="3" t="s">
        <v>247</v>
      </c>
      <c r="J62" s="3" t="s">
        <v>248</v>
      </c>
    </row>
    <row r="63" spans="2:10" ht="114.75" x14ac:dyDescent="0.25">
      <c r="B63" s="1">
        <f t="shared" si="7"/>
        <v>50</v>
      </c>
      <c r="C63" s="2">
        <v>3</v>
      </c>
      <c r="D63" s="3" t="s">
        <v>194</v>
      </c>
      <c r="E63" s="2">
        <v>4</v>
      </c>
      <c r="F63" s="5" t="s">
        <v>249</v>
      </c>
      <c r="G63" s="10" t="s">
        <v>250</v>
      </c>
      <c r="H63" s="3" t="s">
        <v>251</v>
      </c>
      <c r="I63" s="3" t="s">
        <v>252</v>
      </c>
      <c r="J63" s="3" t="s">
        <v>253</v>
      </c>
    </row>
    <row r="64" spans="2:10" ht="306" x14ac:dyDescent="0.25">
      <c r="B64" s="1">
        <f t="shared" si="7"/>
        <v>51</v>
      </c>
      <c r="C64" s="2">
        <v>3</v>
      </c>
      <c r="D64" s="3" t="s">
        <v>194</v>
      </c>
      <c r="E64" s="2">
        <v>4</v>
      </c>
      <c r="F64" s="5" t="s">
        <v>254</v>
      </c>
      <c r="G64" s="11" t="s">
        <v>198</v>
      </c>
      <c r="H64" s="8" t="s">
        <v>197</v>
      </c>
      <c r="I64" s="8" t="s">
        <v>206</v>
      </c>
      <c r="J64" s="8" t="s">
        <v>225</v>
      </c>
    </row>
  </sheetData>
  <autoFilter ref="B13:M64"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5435E-BDA4-4430-9B10-7306A8D7ED7D}">
  <sheetPr>
    <tabColor theme="9" tint="0.59999389629810485"/>
  </sheetPr>
  <dimension ref="B2:K43"/>
  <sheetViews>
    <sheetView showGridLines="0" tabSelected="1" topLeftCell="A21" zoomScale="80" zoomScaleNormal="80" workbookViewId="0">
      <selection activeCell="A46" activeCellId="3" sqref="A39:XFD39 A42:XFD42 A43:XFD43 A46:XFD46"/>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85546875" style="13" customWidth="1"/>
    <col min="13" max="16384" width="9" style="13"/>
  </cols>
  <sheetData>
    <row r="2" spans="2:11" ht="26.45" customHeight="1" x14ac:dyDescent="0.25">
      <c r="B2" s="14" t="s">
        <v>255</v>
      </c>
    </row>
    <row r="3" spans="2:11" ht="10.35" customHeight="1" x14ac:dyDescent="0.25">
      <c r="B3" s="14"/>
    </row>
    <row r="4" spans="2:11" ht="31.7" customHeight="1" outlineLevel="1" x14ac:dyDescent="0.25">
      <c r="B4" s="14"/>
      <c r="D4" s="18" t="s">
        <v>10</v>
      </c>
      <c r="E4" s="19" t="s">
        <v>11</v>
      </c>
      <c r="F4" s="20">
        <v>1</v>
      </c>
      <c r="G4" s="20">
        <v>2</v>
      </c>
      <c r="H4" s="20">
        <v>3</v>
      </c>
    </row>
    <row r="5" spans="2:11" ht="20.100000000000001" customHeight="1" outlineLevel="1" x14ac:dyDescent="0.25">
      <c r="B5" s="14"/>
      <c r="D5" s="19" t="s">
        <v>11</v>
      </c>
      <c r="E5" s="16">
        <f>SUM(E6:E9)</f>
        <v>30</v>
      </c>
      <c r="F5" s="17">
        <f>SUM(F6:F9)</f>
        <v>12</v>
      </c>
      <c r="G5" s="17">
        <f t="shared" ref="G5:H5" si="0">SUM(G6:G9)</f>
        <v>12</v>
      </c>
      <c r="H5" s="17">
        <f t="shared" si="0"/>
        <v>6</v>
      </c>
    </row>
    <row r="6" spans="2:11" ht="20.100000000000001" customHeight="1" outlineLevel="1" x14ac:dyDescent="0.25">
      <c r="B6" s="14"/>
      <c r="D6" s="20">
        <v>1</v>
      </c>
      <c r="E6" s="17">
        <f>SUM(F6:H6)</f>
        <v>11</v>
      </c>
      <c r="F6" s="21">
        <f t="shared" ref="F6:H9" si="1">COUNTIFS($E$13:$E$179,$D6,$C$13:$C$179,F$4)</f>
        <v>4</v>
      </c>
      <c r="G6" s="21">
        <f t="shared" si="1"/>
        <v>6</v>
      </c>
      <c r="H6" s="21">
        <f t="shared" si="1"/>
        <v>1</v>
      </c>
    </row>
    <row r="7" spans="2:11" ht="20.100000000000001" customHeight="1" outlineLevel="1" x14ac:dyDescent="0.25">
      <c r="B7" s="14"/>
      <c r="D7" s="20">
        <v>2</v>
      </c>
      <c r="E7" s="17">
        <f t="shared" ref="E7:E9" si="2">SUM(F7:H7)</f>
        <v>4</v>
      </c>
      <c r="F7" s="21">
        <f t="shared" si="1"/>
        <v>2</v>
      </c>
      <c r="G7" s="21">
        <f t="shared" si="1"/>
        <v>0</v>
      </c>
      <c r="H7" s="21">
        <f t="shared" si="1"/>
        <v>2</v>
      </c>
    </row>
    <row r="8" spans="2:11" ht="20.100000000000001" customHeight="1" outlineLevel="1" x14ac:dyDescent="0.25">
      <c r="B8" s="14"/>
      <c r="D8" s="20">
        <v>3</v>
      </c>
      <c r="E8" s="17">
        <f t="shared" si="2"/>
        <v>10</v>
      </c>
      <c r="F8" s="21">
        <f t="shared" si="1"/>
        <v>4</v>
      </c>
      <c r="G8" s="21">
        <f t="shared" si="1"/>
        <v>4</v>
      </c>
      <c r="H8" s="21">
        <f t="shared" si="1"/>
        <v>2</v>
      </c>
    </row>
    <row r="9" spans="2:11" ht="20.100000000000001" customHeight="1" outlineLevel="1" x14ac:dyDescent="0.25">
      <c r="B9" s="14"/>
      <c r="D9" s="20">
        <v>4</v>
      </c>
      <c r="E9" s="17">
        <f t="shared" si="2"/>
        <v>5</v>
      </c>
      <c r="F9" s="21">
        <f t="shared" si="1"/>
        <v>2</v>
      </c>
      <c r="G9" s="21">
        <f t="shared" si="1"/>
        <v>2</v>
      </c>
      <c r="H9" s="21">
        <f t="shared" si="1"/>
        <v>1</v>
      </c>
    </row>
    <row r="10" spans="2:11" ht="6.75" customHeight="1" x14ac:dyDescent="0.25"/>
    <row r="11" spans="2:11" ht="19.350000000000001" customHeight="1" x14ac:dyDescent="0.25">
      <c r="B11" s="23" t="s">
        <v>0</v>
      </c>
      <c r="C11" s="23" t="s">
        <v>1</v>
      </c>
      <c r="D11" s="23" t="s">
        <v>2</v>
      </c>
      <c r="E11" s="23" t="s">
        <v>3</v>
      </c>
      <c r="F11" s="24" t="s">
        <v>8</v>
      </c>
      <c r="G11" s="22" t="s">
        <v>9</v>
      </c>
      <c r="H11" s="22"/>
      <c r="I11" s="22"/>
      <c r="J11" s="22"/>
    </row>
    <row r="12" spans="2:11" ht="19.350000000000001" customHeight="1" x14ac:dyDescent="0.25">
      <c r="B12" s="23"/>
      <c r="C12" s="23"/>
      <c r="D12" s="23"/>
      <c r="E12" s="23"/>
      <c r="F12" s="24"/>
      <c r="G12" s="6" t="s">
        <v>4</v>
      </c>
      <c r="H12" s="6" t="s">
        <v>5</v>
      </c>
      <c r="I12" s="6" t="s">
        <v>6</v>
      </c>
      <c r="J12" s="6" t="s">
        <v>7</v>
      </c>
    </row>
    <row r="13" spans="2:11"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1" ht="51" x14ac:dyDescent="0.25">
      <c r="B14" s="1">
        <f t="shared" ref="B14:B27" si="4">ROW()-ROW($B$13)</f>
        <v>1</v>
      </c>
      <c r="C14" s="2">
        <v>1</v>
      </c>
      <c r="D14" s="3" t="s">
        <v>12</v>
      </c>
      <c r="E14" s="2">
        <v>1</v>
      </c>
      <c r="F14" s="5" t="s">
        <v>256</v>
      </c>
      <c r="G14" s="10" t="s">
        <v>29</v>
      </c>
      <c r="H14" s="3" t="s">
        <v>30</v>
      </c>
      <c r="I14" s="3" t="s">
        <v>31</v>
      </c>
      <c r="J14" s="3" t="s">
        <v>32</v>
      </c>
      <c r="K14" s="13">
        <f t="shared" ref="K14:K43" si="5">E14</f>
        <v>1</v>
      </c>
    </row>
    <row r="15" spans="2:11" ht="38.25" x14ac:dyDescent="0.25">
      <c r="B15" s="1">
        <f t="shared" si="4"/>
        <v>2</v>
      </c>
      <c r="C15" s="2">
        <v>1</v>
      </c>
      <c r="D15" s="3" t="s">
        <v>12</v>
      </c>
      <c r="E15" s="2">
        <v>1</v>
      </c>
      <c r="F15" s="5" t="s">
        <v>33</v>
      </c>
      <c r="G15" s="10" t="s">
        <v>34</v>
      </c>
      <c r="H15" s="3" t="s">
        <v>35</v>
      </c>
      <c r="I15" s="3" t="s">
        <v>36</v>
      </c>
      <c r="J15" s="3" t="s">
        <v>37</v>
      </c>
      <c r="K15" s="13">
        <f t="shared" si="5"/>
        <v>1</v>
      </c>
    </row>
    <row r="16" spans="2:11" ht="51" x14ac:dyDescent="0.25">
      <c r="B16" s="1">
        <f t="shared" si="4"/>
        <v>3</v>
      </c>
      <c r="C16" s="2">
        <v>1</v>
      </c>
      <c r="D16" s="3" t="s">
        <v>12</v>
      </c>
      <c r="E16" s="2">
        <v>1</v>
      </c>
      <c r="F16" s="5" t="s">
        <v>38</v>
      </c>
      <c r="G16" s="10" t="s">
        <v>39</v>
      </c>
      <c r="H16" s="3" t="s">
        <v>40</v>
      </c>
      <c r="I16" s="3" t="s">
        <v>41</v>
      </c>
      <c r="J16" s="3" t="s">
        <v>42</v>
      </c>
      <c r="K16" s="13">
        <f t="shared" si="5"/>
        <v>1</v>
      </c>
    </row>
    <row r="17" spans="2:11" ht="51" x14ac:dyDescent="0.25">
      <c r="B17" s="1">
        <f t="shared" si="4"/>
        <v>4</v>
      </c>
      <c r="C17" s="2">
        <v>1</v>
      </c>
      <c r="D17" s="3" t="s">
        <v>12</v>
      </c>
      <c r="E17" s="2">
        <v>1</v>
      </c>
      <c r="F17" s="5" t="s">
        <v>43</v>
      </c>
      <c r="G17" s="10" t="s">
        <v>44</v>
      </c>
      <c r="H17" s="3" t="s">
        <v>45</v>
      </c>
      <c r="I17" s="3" t="s">
        <v>46</v>
      </c>
      <c r="J17" s="3" t="s">
        <v>47</v>
      </c>
      <c r="K17" s="13">
        <f t="shared" si="5"/>
        <v>1</v>
      </c>
    </row>
    <row r="18" spans="2:11" ht="38.25" x14ac:dyDescent="0.25">
      <c r="B18" s="1">
        <f t="shared" si="4"/>
        <v>5</v>
      </c>
      <c r="C18" s="2">
        <v>1</v>
      </c>
      <c r="D18" s="3" t="s">
        <v>12</v>
      </c>
      <c r="E18" s="2">
        <v>2</v>
      </c>
      <c r="F18" s="5" t="s">
        <v>48</v>
      </c>
      <c r="G18" s="10" t="s">
        <v>49</v>
      </c>
      <c r="H18" s="3" t="s">
        <v>50</v>
      </c>
      <c r="I18" s="3" t="s">
        <v>51</v>
      </c>
      <c r="J18" s="3" t="s">
        <v>52</v>
      </c>
      <c r="K18" s="13">
        <f t="shared" si="5"/>
        <v>2</v>
      </c>
    </row>
    <row r="19" spans="2:11" ht="38.25" x14ac:dyDescent="0.25">
      <c r="B19" s="1">
        <f t="shared" si="4"/>
        <v>6</v>
      </c>
      <c r="C19" s="2">
        <v>1</v>
      </c>
      <c r="D19" s="3" t="s">
        <v>12</v>
      </c>
      <c r="E19" s="2">
        <v>2</v>
      </c>
      <c r="F19" s="5" t="s">
        <v>58</v>
      </c>
      <c r="G19" s="11" t="s">
        <v>59</v>
      </c>
      <c r="H19" s="8" t="s">
        <v>60</v>
      </c>
      <c r="I19" s="8" t="s">
        <v>61</v>
      </c>
      <c r="J19" s="8" t="s">
        <v>62</v>
      </c>
      <c r="K19" s="13">
        <f t="shared" si="5"/>
        <v>2</v>
      </c>
    </row>
    <row r="20" spans="2:11" ht="102" x14ac:dyDescent="0.25">
      <c r="B20" s="1">
        <f t="shared" si="4"/>
        <v>7</v>
      </c>
      <c r="C20" s="2">
        <v>1</v>
      </c>
      <c r="D20" s="3" t="s">
        <v>12</v>
      </c>
      <c r="E20" s="2">
        <v>3</v>
      </c>
      <c r="F20" s="5" t="s">
        <v>63</v>
      </c>
      <c r="G20" s="11" t="s">
        <v>64</v>
      </c>
      <c r="H20" s="8" t="s">
        <v>65</v>
      </c>
      <c r="I20" s="8" t="s">
        <v>66</v>
      </c>
      <c r="J20" s="8" t="s">
        <v>67</v>
      </c>
      <c r="K20" s="13">
        <f t="shared" si="5"/>
        <v>3</v>
      </c>
    </row>
    <row r="21" spans="2:11" ht="102" x14ac:dyDescent="0.25">
      <c r="B21" s="1">
        <f t="shared" si="4"/>
        <v>8</v>
      </c>
      <c r="C21" s="2">
        <v>1</v>
      </c>
      <c r="D21" s="3" t="s">
        <v>12</v>
      </c>
      <c r="E21" s="2">
        <v>3</v>
      </c>
      <c r="F21" s="5" t="s">
        <v>68</v>
      </c>
      <c r="G21" s="11" t="s">
        <v>69</v>
      </c>
      <c r="H21" s="8" t="s">
        <v>70</v>
      </c>
      <c r="I21" s="8" t="s">
        <v>71</v>
      </c>
      <c r="J21" s="8" t="s">
        <v>72</v>
      </c>
      <c r="K21" s="13">
        <f t="shared" si="5"/>
        <v>3</v>
      </c>
    </row>
    <row r="22" spans="2:11" ht="38.25" x14ac:dyDescent="0.25">
      <c r="B22" s="1">
        <f t="shared" si="4"/>
        <v>9</v>
      </c>
      <c r="C22" s="2">
        <v>1</v>
      </c>
      <c r="D22" s="3" t="s">
        <v>12</v>
      </c>
      <c r="E22" s="2">
        <v>3</v>
      </c>
      <c r="F22" s="5" t="s">
        <v>73</v>
      </c>
      <c r="G22" s="10" t="s">
        <v>74</v>
      </c>
      <c r="H22" s="3" t="s">
        <v>75</v>
      </c>
      <c r="I22" s="3" t="s">
        <v>76</v>
      </c>
      <c r="J22" s="3" t="s">
        <v>77</v>
      </c>
      <c r="K22" s="13">
        <f t="shared" si="5"/>
        <v>3</v>
      </c>
    </row>
    <row r="23" spans="2:11" ht="102" x14ac:dyDescent="0.25">
      <c r="B23" s="1">
        <f t="shared" si="4"/>
        <v>10</v>
      </c>
      <c r="C23" s="2">
        <v>1</v>
      </c>
      <c r="D23" s="3" t="s">
        <v>12</v>
      </c>
      <c r="E23" s="2">
        <v>3</v>
      </c>
      <c r="F23" s="5" t="s">
        <v>83</v>
      </c>
      <c r="G23" s="10" t="s">
        <v>84</v>
      </c>
      <c r="H23" s="3" t="s">
        <v>85</v>
      </c>
      <c r="I23" s="3" t="s">
        <v>86</v>
      </c>
      <c r="J23" s="3" t="s">
        <v>87</v>
      </c>
      <c r="K23" s="13">
        <f t="shared" si="5"/>
        <v>3</v>
      </c>
    </row>
    <row r="24" spans="2:11" ht="153" x14ac:dyDescent="0.25">
      <c r="B24" s="1">
        <f t="shared" si="4"/>
        <v>11</v>
      </c>
      <c r="C24" s="2">
        <v>1</v>
      </c>
      <c r="D24" s="3" t="s">
        <v>12</v>
      </c>
      <c r="E24" s="2">
        <v>4</v>
      </c>
      <c r="F24" s="5" t="s">
        <v>88</v>
      </c>
      <c r="G24" s="10" t="s">
        <v>89</v>
      </c>
      <c r="H24" s="3" t="s">
        <v>90</v>
      </c>
      <c r="I24" s="3" t="s">
        <v>91</v>
      </c>
      <c r="J24" s="3" t="s">
        <v>92</v>
      </c>
      <c r="K24" s="13">
        <f t="shared" si="5"/>
        <v>4</v>
      </c>
    </row>
    <row r="25" spans="2:11" ht="127.5" x14ac:dyDescent="0.25">
      <c r="B25" s="1">
        <f t="shared" si="4"/>
        <v>12</v>
      </c>
      <c r="C25" s="2">
        <v>1</v>
      </c>
      <c r="D25" s="3" t="s">
        <v>12</v>
      </c>
      <c r="E25" s="2">
        <v>4</v>
      </c>
      <c r="F25" s="5" t="s">
        <v>93</v>
      </c>
      <c r="G25" s="10" t="s">
        <v>94</v>
      </c>
      <c r="H25" s="3" t="s">
        <v>95</v>
      </c>
      <c r="I25" s="3" t="s">
        <v>96</v>
      </c>
      <c r="J25" s="3" t="s">
        <v>97</v>
      </c>
      <c r="K25" s="13">
        <f t="shared" si="5"/>
        <v>4</v>
      </c>
    </row>
    <row r="26" spans="2:11" ht="63.75" x14ac:dyDescent="0.25">
      <c r="B26" s="1">
        <f t="shared" si="4"/>
        <v>13</v>
      </c>
      <c r="C26" s="2">
        <v>2</v>
      </c>
      <c r="D26" s="3" t="s">
        <v>103</v>
      </c>
      <c r="E26" s="2">
        <v>1</v>
      </c>
      <c r="F26" s="5" t="s">
        <v>104</v>
      </c>
      <c r="G26" s="9" t="s">
        <v>105</v>
      </c>
      <c r="H26" s="7" t="s">
        <v>106</v>
      </c>
      <c r="I26" s="7" t="s">
        <v>107</v>
      </c>
      <c r="J26" s="7" t="s">
        <v>108</v>
      </c>
      <c r="K26" s="13">
        <f t="shared" si="5"/>
        <v>1</v>
      </c>
    </row>
    <row r="27" spans="2:11" ht="76.5" x14ac:dyDescent="0.25">
      <c r="B27" s="1">
        <f t="shared" si="4"/>
        <v>14</v>
      </c>
      <c r="C27" s="2">
        <v>2</v>
      </c>
      <c r="D27" s="3" t="s">
        <v>103</v>
      </c>
      <c r="E27" s="2">
        <v>1</v>
      </c>
      <c r="F27" s="5" t="s">
        <v>257</v>
      </c>
      <c r="G27" s="10" t="s">
        <v>178</v>
      </c>
      <c r="H27" s="3" t="s">
        <v>258</v>
      </c>
      <c r="I27" s="3" t="s">
        <v>259</v>
      </c>
      <c r="J27" s="3" t="s">
        <v>260</v>
      </c>
      <c r="K27" s="13">
        <f t="shared" si="5"/>
        <v>1</v>
      </c>
    </row>
    <row r="28" spans="2:11" ht="89.25" x14ac:dyDescent="0.25">
      <c r="B28" s="1">
        <f>ROW()-ROW($B$13)</f>
        <v>15</v>
      </c>
      <c r="C28" s="2">
        <v>2</v>
      </c>
      <c r="D28" s="3" t="s">
        <v>103</v>
      </c>
      <c r="E28" s="2">
        <v>1</v>
      </c>
      <c r="F28" s="5" t="s">
        <v>119</v>
      </c>
      <c r="G28" s="9" t="s">
        <v>120</v>
      </c>
      <c r="H28" s="7" t="s">
        <v>121</v>
      </c>
      <c r="I28" s="7" t="s">
        <v>122</v>
      </c>
      <c r="J28" s="7" t="s">
        <v>123</v>
      </c>
      <c r="K28" s="13">
        <f t="shared" si="5"/>
        <v>1</v>
      </c>
    </row>
    <row r="29" spans="2:11" ht="63.75" x14ac:dyDescent="0.25">
      <c r="B29" s="1">
        <f t="shared" ref="B29:B38" si="6">ROW()-ROW($B$13)</f>
        <v>16</v>
      </c>
      <c r="C29" s="2">
        <v>2</v>
      </c>
      <c r="D29" s="3" t="s">
        <v>103</v>
      </c>
      <c r="E29" s="2">
        <v>1</v>
      </c>
      <c r="F29" s="5" t="s">
        <v>124</v>
      </c>
      <c r="G29" s="10" t="s">
        <v>125</v>
      </c>
      <c r="H29" s="3" t="s">
        <v>126</v>
      </c>
      <c r="I29" s="3" t="s">
        <v>127</v>
      </c>
      <c r="J29" s="3" t="s">
        <v>128</v>
      </c>
      <c r="K29" s="13">
        <f t="shared" si="5"/>
        <v>1</v>
      </c>
    </row>
    <row r="30" spans="2:11" ht="63.75" x14ac:dyDescent="0.25">
      <c r="B30" s="1">
        <f t="shared" si="6"/>
        <v>17</v>
      </c>
      <c r="C30" s="2">
        <v>2</v>
      </c>
      <c r="D30" s="3" t="s">
        <v>103</v>
      </c>
      <c r="E30" s="2">
        <v>1</v>
      </c>
      <c r="F30" s="5" t="s">
        <v>129</v>
      </c>
      <c r="G30" s="10" t="s">
        <v>130</v>
      </c>
      <c r="H30" s="3" t="s">
        <v>131</v>
      </c>
      <c r="I30" s="3" t="s">
        <v>132</v>
      </c>
      <c r="J30" s="3" t="s">
        <v>133</v>
      </c>
      <c r="K30" s="13">
        <f t="shared" si="5"/>
        <v>1</v>
      </c>
    </row>
    <row r="31" spans="2:11" ht="76.5" x14ac:dyDescent="0.25">
      <c r="B31" s="1">
        <f t="shared" si="6"/>
        <v>18</v>
      </c>
      <c r="C31" s="2">
        <v>2</v>
      </c>
      <c r="D31" s="3" t="s">
        <v>103</v>
      </c>
      <c r="E31" s="2">
        <v>1</v>
      </c>
      <c r="F31" s="5" t="s">
        <v>134</v>
      </c>
      <c r="G31" s="10" t="s">
        <v>135</v>
      </c>
      <c r="H31" s="3" t="s">
        <v>136</v>
      </c>
      <c r="I31" s="3" t="s">
        <v>137</v>
      </c>
      <c r="J31" s="3" t="s">
        <v>138</v>
      </c>
      <c r="K31" s="13">
        <f t="shared" si="5"/>
        <v>1</v>
      </c>
    </row>
    <row r="32" spans="2:11" ht="63.75" x14ac:dyDescent="0.25">
      <c r="B32" s="1">
        <f t="shared" si="6"/>
        <v>19</v>
      </c>
      <c r="C32" s="2">
        <v>2</v>
      </c>
      <c r="D32" s="3" t="s">
        <v>103</v>
      </c>
      <c r="E32" s="2">
        <v>3</v>
      </c>
      <c r="F32" s="5" t="s">
        <v>159</v>
      </c>
      <c r="G32" s="11" t="s">
        <v>160</v>
      </c>
      <c r="H32" s="8" t="s">
        <v>161</v>
      </c>
      <c r="I32" s="8" t="s">
        <v>162</v>
      </c>
      <c r="J32" s="8" t="s">
        <v>163</v>
      </c>
      <c r="K32" s="13">
        <f t="shared" si="5"/>
        <v>3</v>
      </c>
    </row>
    <row r="33" spans="2:11" ht="89.25" x14ac:dyDescent="0.25">
      <c r="B33" s="1">
        <f t="shared" si="6"/>
        <v>20</v>
      </c>
      <c r="C33" s="2">
        <v>2</v>
      </c>
      <c r="D33" s="3" t="s">
        <v>103</v>
      </c>
      <c r="E33" s="2">
        <v>3</v>
      </c>
      <c r="F33" s="5" t="s">
        <v>169</v>
      </c>
      <c r="G33" s="11" t="s">
        <v>170</v>
      </c>
      <c r="H33" s="8" t="s">
        <v>171</v>
      </c>
      <c r="I33" s="8" t="s">
        <v>172</v>
      </c>
      <c r="J33" s="8" t="s">
        <v>173</v>
      </c>
      <c r="K33" s="13">
        <f t="shared" si="5"/>
        <v>3</v>
      </c>
    </row>
    <row r="34" spans="2:11" ht="63.75" x14ac:dyDescent="0.25">
      <c r="B34" s="1">
        <f t="shared" si="6"/>
        <v>21</v>
      </c>
      <c r="C34" s="2">
        <v>2</v>
      </c>
      <c r="D34" s="3" t="s">
        <v>103</v>
      </c>
      <c r="E34" s="2">
        <v>3</v>
      </c>
      <c r="F34" s="5" t="s">
        <v>179</v>
      </c>
      <c r="G34" s="10" t="s">
        <v>180</v>
      </c>
      <c r="H34" s="3" t="s">
        <v>181</v>
      </c>
      <c r="I34" s="3" t="s">
        <v>182</v>
      </c>
      <c r="J34" s="3" t="s">
        <v>183</v>
      </c>
      <c r="K34" s="13">
        <f t="shared" si="5"/>
        <v>3</v>
      </c>
    </row>
    <row r="35" spans="2:11" ht="63.75" x14ac:dyDescent="0.25">
      <c r="B35" s="1">
        <f t="shared" si="6"/>
        <v>22</v>
      </c>
      <c r="C35" s="2">
        <v>2</v>
      </c>
      <c r="D35" s="3" t="s">
        <v>103</v>
      </c>
      <c r="E35" s="2">
        <v>3</v>
      </c>
      <c r="F35" s="5" t="s">
        <v>184</v>
      </c>
      <c r="G35" s="10" t="s">
        <v>185</v>
      </c>
      <c r="H35" s="3" t="s">
        <v>186</v>
      </c>
      <c r="I35" s="3" t="s">
        <v>187</v>
      </c>
      <c r="J35" s="3" t="s">
        <v>188</v>
      </c>
      <c r="K35" s="13">
        <f t="shared" si="5"/>
        <v>3</v>
      </c>
    </row>
    <row r="36" spans="2:11" ht="306" x14ac:dyDescent="0.25">
      <c r="B36" s="1">
        <f t="shared" si="6"/>
        <v>23</v>
      </c>
      <c r="C36" s="2">
        <v>2</v>
      </c>
      <c r="D36" s="3" t="s">
        <v>103</v>
      </c>
      <c r="E36" s="2">
        <v>4</v>
      </c>
      <c r="F36" s="5" t="s">
        <v>195</v>
      </c>
      <c r="G36" s="10" t="s">
        <v>196</v>
      </c>
      <c r="H36" s="3" t="s">
        <v>197</v>
      </c>
      <c r="I36" s="3" t="s">
        <v>198</v>
      </c>
      <c r="J36" s="3" t="s">
        <v>199</v>
      </c>
      <c r="K36" s="13">
        <f t="shared" si="5"/>
        <v>4</v>
      </c>
    </row>
    <row r="37" spans="2:11" ht="318.75" x14ac:dyDescent="0.25">
      <c r="B37" s="1">
        <f t="shared" si="6"/>
        <v>24</v>
      </c>
      <c r="C37" s="2">
        <v>2</v>
      </c>
      <c r="D37" s="3" t="s">
        <v>103</v>
      </c>
      <c r="E37" s="2">
        <v>4</v>
      </c>
      <c r="F37" s="5" t="s">
        <v>205</v>
      </c>
      <c r="G37" s="10" t="s">
        <v>206</v>
      </c>
      <c r="H37" s="3" t="s">
        <v>207</v>
      </c>
      <c r="I37" s="3" t="s">
        <v>198</v>
      </c>
      <c r="J37" s="3" t="s">
        <v>208</v>
      </c>
      <c r="K37" s="13">
        <f t="shared" si="5"/>
        <v>4</v>
      </c>
    </row>
    <row r="38" spans="2:11" ht="63.75" x14ac:dyDescent="0.25">
      <c r="B38" s="1">
        <f t="shared" si="6"/>
        <v>25</v>
      </c>
      <c r="C38" s="2">
        <v>3</v>
      </c>
      <c r="D38" s="3" t="s">
        <v>194</v>
      </c>
      <c r="E38" s="2">
        <v>1</v>
      </c>
      <c r="F38" s="5" t="s">
        <v>210</v>
      </c>
      <c r="G38" s="10" t="s">
        <v>211</v>
      </c>
      <c r="H38" s="3" t="s">
        <v>212</v>
      </c>
      <c r="I38" s="3" t="s">
        <v>213</v>
      </c>
      <c r="J38" s="3" t="s">
        <v>214</v>
      </c>
      <c r="K38" s="13">
        <f t="shared" si="5"/>
        <v>1</v>
      </c>
    </row>
    <row r="39" spans="2:11" ht="63.75" x14ac:dyDescent="0.25">
      <c r="B39" s="1">
        <f>ROW()-ROW($B$13)</f>
        <v>26</v>
      </c>
      <c r="C39" s="2">
        <v>3</v>
      </c>
      <c r="D39" s="3" t="s">
        <v>194</v>
      </c>
      <c r="E39" s="2">
        <v>2</v>
      </c>
      <c r="F39" s="5" t="s">
        <v>220</v>
      </c>
      <c r="G39" s="9" t="s">
        <v>178</v>
      </c>
      <c r="H39" s="7" t="s">
        <v>221</v>
      </c>
      <c r="I39" s="7" t="s">
        <v>222</v>
      </c>
      <c r="J39" s="7" t="s">
        <v>223</v>
      </c>
      <c r="K39" s="13">
        <f t="shared" si="5"/>
        <v>2</v>
      </c>
    </row>
    <row r="40" spans="2:11" ht="204" x14ac:dyDescent="0.25">
      <c r="B40" s="1">
        <f t="shared" ref="B40:B43" si="7">ROW()-ROW($B$13)</f>
        <v>27</v>
      </c>
      <c r="C40" s="2">
        <v>3</v>
      </c>
      <c r="D40" s="3" t="s">
        <v>194</v>
      </c>
      <c r="E40" s="2">
        <v>2</v>
      </c>
      <c r="F40" s="5" t="s">
        <v>224</v>
      </c>
      <c r="G40" s="10" t="s">
        <v>199</v>
      </c>
      <c r="H40" s="3" t="s">
        <v>198</v>
      </c>
      <c r="I40" s="3" t="s">
        <v>197</v>
      </c>
      <c r="J40" s="3" t="s">
        <v>225</v>
      </c>
      <c r="K40" s="13">
        <f t="shared" si="5"/>
        <v>2</v>
      </c>
    </row>
    <row r="41" spans="2:11" ht="102" x14ac:dyDescent="0.25">
      <c r="B41" s="1">
        <f t="shared" si="7"/>
        <v>28</v>
      </c>
      <c r="C41" s="2">
        <v>3</v>
      </c>
      <c r="D41" s="3" t="s">
        <v>194</v>
      </c>
      <c r="E41" s="2">
        <v>3</v>
      </c>
      <c r="F41" s="5" t="s">
        <v>240</v>
      </c>
      <c r="G41" s="10" t="s">
        <v>241</v>
      </c>
      <c r="H41" s="3" t="s">
        <v>242</v>
      </c>
      <c r="I41" s="3" t="s">
        <v>243</v>
      </c>
      <c r="J41" s="3" t="s">
        <v>244</v>
      </c>
      <c r="K41" s="13">
        <f t="shared" si="5"/>
        <v>3</v>
      </c>
    </row>
    <row r="42" spans="2:11" ht="63.75" x14ac:dyDescent="0.25">
      <c r="B42" s="1">
        <f t="shared" si="7"/>
        <v>29</v>
      </c>
      <c r="C42" s="2">
        <v>3</v>
      </c>
      <c r="D42" s="3" t="s">
        <v>194</v>
      </c>
      <c r="E42" s="2">
        <v>3</v>
      </c>
      <c r="F42" s="5" t="s">
        <v>245</v>
      </c>
      <c r="G42" s="10" t="s">
        <v>246</v>
      </c>
      <c r="H42" s="3" t="s">
        <v>76</v>
      </c>
      <c r="I42" s="3" t="s">
        <v>247</v>
      </c>
      <c r="J42" s="3" t="s">
        <v>248</v>
      </c>
      <c r="K42" s="13">
        <f t="shared" si="5"/>
        <v>3</v>
      </c>
    </row>
    <row r="43" spans="2:11" ht="306" x14ac:dyDescent="0.25">
      <c r="B43" s="1">
        <f t="shared" si="7"/>
        <v>30</v>
      </c>
      <c r="C43" s="2">
        <v>3</v>
      </c>
      <c r="D43" s="3" t="s">
        <v>194</v>
      </c>
      <c r="E43" s="2">
        <v>4</v>
      </c>
      <c r="F43" s="5" t="s">
        <v>254</v>
      </c>
      <c r="G43" s="11" t="s">
        <v>198</v>
      </c>
      <c r="H43" s="8" t="s">
        <v>197</v>
      </c>
      <c r="I43" s="8" t="s">
        <v>206</v>
      </c>
      <c r="J43" s="8" t="s">
        <v>225</v>
      </c>
      <c r="K43" s="13">
        <f t="shared" si="5"/>
        <v>4</v>
      </c>
    </row>
  </sheetData>
  <autoFilter ref="B13:M43" xr:uid="{B005C0B0-9D89-4729-AC6E-7F1010ED0730}"/>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P13_final</vt:lpstr>
      <vt:lpstr>P13_final!Print_Area</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2026-10-02T02:31:37Z</dcterms:modified>
</cp:coreProperties>
</file>