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A0E2E296-1C14-4605-BD9A-14D2920C7C58}" xr6:coauthVersionLast="47" xr6:coauthVersionMax="47" xr10:uidLastSave="{00000000-0000-0000-0000-000000000000}"/>
  <bookViews>
    <workbookView xWindow="-120" yWindow="-120" windowWidth="29040" windowHeight="15720" firstSheet="1" activeTab="1" xr2:uid="{0A323993-6B0E-4465-9440-DABB234748ED}"/>
  </bookViews>
  <sheets>
    <sheet name="P15" sheetId="1" r:id="rId1"/>
    <sheet name="P15_final" sheetId="2" r:id="rId2"/>
  </sheets>
  <definedNames>
    <definedName name="_xlnm._FilterDatabase" localSheetId="0" hidden="1">'P15'!$B$13:$M$136</definedName>
    <definedName name="_xlnm._FilterDatabase" localSheetId="1" hidden="1">P15_final!$B$13:$M$60</definedName>
    <definedName name="_xlnm.Print_Area" localSheetId="0">'P15'!$B$1:$L$112</definedName>
    <definedName name="_xlnm.Print_Area" localSheetId="1">P15_final!$B$1:$L$36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2" l="1"/>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H9" i="2" s="1"/>
  <c r="D13" i="2"/>
  <c r="C13" i="2"/>
  <c r="B13" i="2"/>
  <c r="F6" i="2"/>
  <c r="B108" i="1"/>
  <c r="B107" i="1"/>
  <c r="B106" i="1"/>
  <c r="B105" i="1"/>
  <c r="B96" i="1"/>
  <c r="B95" i="1"/>
  <c r="B94" i="1"/>
  <c r="B93" i="1"/>
  <c r="B92" i="1"/>
  <c r="B91" i="1"/>
  <c r="B90" i="1"/>
  <c r="B89" i="1"/>
  <c r="B88" i="1"/>
  <c r="B87" i="1"/>
  <c r="B86" i="1"/>
  <c r="B85" i="1"/>
  <c r="B34" i="1"/>
  <c r="B33" i="1"/>
  <c r="B32" i="1"/>
  <c r="B31" i="1"/>
  <c r="B30" i="1"/>
  <c r="B29" i="1"/>
  <c r="B28" i="1"/>
  <c r="B27" i="1"/>
  <c r="B26" i="1"/>
  <c r="B25" i="1"/>
  <c r="B24" i="1"/>
  <c r="B23" i="1"/>
  <c r="B22" i="1"/>
  <c r="B21" i="1"/>
  <c r="B20" i="1"/>
  <c r="B19" i="1"/>
  <c r="B18" i="1"/>
  <c r="B17" i="1"/>
  <c r="B16" i="1"/>
  <c r="B15" i="1"/>
  <c r="B14" i="1"/>
  <c r="B54" i="1"/>
  <c r="B53" i="1"/>
  <c r="B52" i="1"/>
  <c r="B51" i="1"/>
  <c r="B50" i="1"/>
  <c r="B49" i="1"/>
  <c r="B48" i="1"/>
  <c r="B47" i="1"/>
  <c r="B46" i="1"/>
  <c r="B45" i="1"/>
  <c r="B44" i="1"/>
  <c r="B43" i="1"/>
  <c r="B42" i="1"/>
  <c r="B41" i="1"/>
  <c r="B40" i="1"/>
  <c r="B39" i="1"/>
  <c r="B38" i="1"/>
  <c r="B37" i="1"/>
  <c r="B36" i="1"/>
  <c r="B35" i="1"/>
  <c r="B75" i="1"/>
  <c r="B74" i="1"/>
  <c r="B73" i="1"/>
  <c r="B72" i="1"/>
  <c r="B71" i="1"/>
  <c r="B70" i="1"/>
  <c r="B69" i="1"/>
  <c r="B68" i="1"/>
  <c r="B67" i="1"/>
  <c r="B66" i="1"/>
  <c r="B65" i="1"/>
  <c r="B64" i="1"/>
  <c r="B63" i="1"/>
  <c r="B62" i="1"/>
  <c r="B61" i="1"/>
  <c r="B60" i="1"/>
  <c r="B59" i="1"/>
  <c r="B58" i="1"/>
  <c r="B57" i="1"/>
  <c r="B56" i="1"/>
  <c r="B55" i="1"/>
  <c r="B77" i="1"/>
  <c r="B78" i="1"/>
  <c r="B79" i="1"/>
  <c r="B80" i="1"/>
  <c r="B81" i="1"/>
  <c r="B82" i="1"/>
  <c r="B83" i="1"/>
  <c r="B84" i="1"/>
  <c r="B97" i="1"/>
  <c r="B98" i="1"/>
  <c r="B99" i="1"/>
  <c r="B100" i="1"/>
  <c r="B101" i="1"/>
  <c r="B102" i="1"/>
  <c r="B103" i="1"/>
  <c r="B104" i="1"/>
  <c r="B109" i="1"/>
  <c r="B110" i="1"/>
  <c r="B111" i="1"/>
  <c r="B112" i="1"/>
  <c r="B76" i="1"/>
  <c r="C13" i="1"/>
  <c r="D13" i="1"/>
  <c r="E13" i="1"/>
  <c r="F13" i="1"/>
  <c r="G13" i="1"/>
  <c r="H13" i="1"/>
  <c r="I13" i="1"/>
  <c r="J13" i="1"/>
  <c r="B13" i="1"/>
  <c r="G6" i="2" l="1"/>
  <c r="H6" i="2"/>
  <c r="F8" i="2"/>
  <c r="G8" i="2"/>
  <c r="H8" i="2"/>
  <c r="G7" i="2"/>
  <c r="G9" i="2"/>
  <c r="F7" i="2"/>
  <c r="F9" i="2"/>
  <c r="H7" i="2"/>
  <c r="F7" i="1"/>
  <c r="H9" i="1"/>
  <c r="G7" i="1"/>
  <c r="F9" i="1"/>
  <c r="F8" i="1"/>
  <c r="H8" i="1"/>
  <c r="H7" i="1"/>
  <c r="G9" i="1"/>
  <c r="G8" i="1"/>
  <c r="F6" i="1"/>
  <c r="G6" i="1"/>
  <c r="H6" i="1"/>
  <c r="E6" i="2" l="1"/>
  <c r="F5" i="2"/>
  <c r="E8" i="2"/>
  <c r="G5" i="2"/>
  <c r="H5" i="2"/>
  <c r="E9" i="2"/>
  <c r="E7" i="2"/>
  <c r="E9" i="1"/>
  <c r="E7" i="1"/>
  <c r="G5" i="1"/>
  <c r="H5" i="1"/>
  <c r="E8" i="1"/>
  <c r="E6" i="1"/>
  <c r="E5" i="1" s="1"/>
  <c r="F5" i="1"/>
  <c r="E5" i="2" l="1"/>
</calcChain>
</file>

<file path=xl/sharedStrings.xml><?xml version="1.0" encoding="utf-8"?>
<sst xmlns="http://schemas.openxmlformats.org/spreadsheetml/2006/main" count="310" uniqueCount="172">
  <si>
    <t>P15 - Vận hành, quản trị hạ tầng CNTT</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</si>
  <si>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</si>
  <si>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</si>
  <si>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</si>
  <si>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</si>
  <si>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</si>
  <si>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</si>
  <si>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</si>
  <si>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</si>
  <si>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</si>
  <si>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</si>
  <si>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</si>
  <si>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</si>
  <si>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Quản trị hạ tầng: Duy trì, tối ưu hóa hoạt động của hệ thống hạ tầng CNTT</t>
  </si>
  <si>
    <t>Tại sao cần thường xuyên kiểm tra tình trạng hoạt động của thiết bị hạ tầng CNTT?</t>
  </si>
  <si>
    <t>Tất cả các đáp án trên.</t>
  </si>
  <si>
    <t>Để phát hiện sớm các lỗi tiềm ẩn, tránh gián đoạn hệ thống.</t>
  </si>
  <si>
    <t>Đảm bảo hiệu suất hoạt động tối ưu của hệ thống.</t>
  </si>
  <si>
    <t>Giảm thiểu rủi ro bảo mật và tấn công mạng.</t>
  </si>
  <si>
    <t>Mục đích của việc phân vùng mạng (network segmentation) trong hạ tầng CNTT là gì?</t>
  </si>
  <si>
    <t xml:space="preserve">Cải thiện hiệu suất, bảo mật và khả năng kiểm soát lưu lượng mạng
</t>
  </si>
  <si>
    <t xml:space="preserve">Giúp giảm chi phí phần cứng mạng bằng cách sử dụng ít thiết bị hơn
</t>
  </si>
  <si>
    <t>Tăng tốc độ truyền tải dữ liệu bằng cách loại bỏ các gói tin kiểm tra lỗi</t>
  </si>
  <si>
    <t>Cho phép tất cả các thiết bị trong mạng có thể truy cập lẫn nhau dễ dàng hơn</t>
  </si>
  <si>
    <t>Quản lý tài nguyên và cấu hình: Quản lý hiệu quả tài nguyên và thiết lập hệ thống</t>
  </si>
  <si>
    <t>Mục đích của việc lập danh mục tài nguyên hệ thống CNTT là gì?</t>
  </si>
  <si>
    <t>Tất cả các đáp án trên</t>
  </si>
  <si>
    <t>Quản lý tập trung, nắm rõ thông tin về các tài nguyên CNTT (phần cứng, phần mềm, dữ liệu)</t>
  </si>
  <si>
    <t>Hỗ trợ công tác bảo trì, nâng cấp và xử lý sự cố kịp thời</t>
  </si>
  <si>
    <t>Tối ưu hóa chi phí và tránh lãng phí tài nguyên do không kiểm soát được</t>
  </si>
  <si>
    <t>Tại sao cần cấu hình địa chỉ IP tĩnh cho các thiết bị máy chủ?</t>
  </si>
  <si>
    <t>Để đảm bảo các dịch vụ mạng hoạt động ổn định và dễ dàng quản lý kết nối</t>
  </si>
  <si>
    <t>Để các thiết bị máy chủ có thể thay đổi địa chỉ IP nhanh chóng, linh hoạt khi cần thiết</t>
  </si>
  <si>
    <t>Giúp máy chủ dễ dàng thay đổi vị trí vật lý mà không cần cập nhật lại địa chỉ IP</t>
  </si>
  <si>
    <t>Để tăng tốc độ truyền dữ liệu giữa các máy chủ</t>
  </si>
  <si>
    <t>Khắc phục sự cố hạ tầng CNTT: Xử lý và phục hồi lỗi của hệ thống hạ tầng CNTT.</t>
  </si>
  <si>
    <t>Tại sao cần ghi nhật ký (log) các sự cố xảy ra trong hệ thống CNTT?</t>
  </si>
  <si>
    <t>Để phân tích nguyên nhân, khắc phục sự cố nhanh chóng và ngăn ngừa tái diễn.</t>
  </si>
  <si>
    <t>Phục vụ công tác kiểm toán, tuân thủ các tiêu chuẩn bảo mật</t>
  </si>
  <si>
    <t>Cung cấp bằng chứng pháp lý khi xảy ra tranh chấp hoặc tấn công mạng</t>
  </si>
  <si>
    <t>Mục tiêu chính của việc khắc phục sự cố hệ thống là gì?</t>
  </si>
  <si>
    <t>Khôi phục dịch vụ nhanh nhất có thể để giảm thiểu thời gian gián đoạn.</t>
  </si>
  <si>
    <t>Đảm bảo các thành phần trong hệ thống có thể khởi động đồng thời sau khi triển khai</t>
  </si>
  <si>
    <t>Tìm ra nguyên nhân gốc và trách nhiệm để xảy ra sự cố</t>
  </si>
  <si>
    <t>Đề xuất phương án cập nhật hệ thống để tránh sự cố lặp lại</t>
  </si>
  <si>
    <t>Khi quản trị hệ thống mạng doanh nghiệp, yếu tố nào sau đây cần được theo dõi liên tục?</t>
  </si>
  <si>
    <t xml:space="preserve">Hiệu suất, lưu lượng, tính sẵn sàng và các dấu hiệu bất thường trong hoạt động của hệ thống mạng </t>
  </si>
  <si>
    <t>Vấn đề tiêu thụ điện năng của các thiết bị mạng</t>
  </si>
  <si>
    <t>Mức độ hài long của người dùng về chất lượng của các dịch vụ mạng</t>
  </si>
  <si>
    <t>Thời gian xử lý các sự vụ phát sinh của nhân viên phụ trách quản trị mạng</t>
  </si>
  <si>
    <t>Khi triển khai hệ thống hạ tầng mới, vì sao cần lập kế hoạch phân bổ tài nguyên ngay từ đầu?</t>
  </si>
  <si>
    <t>Để đảm bảo tài nguyên được sử dụng hiệu quả, tránh lãng phí và hỗ trợ mở rộng trong tương lai</t>
  </si>
  <si>
    <t>Giúp xác định chính xác các thiết bị phần cứng cần mua để tránh lãng phí ngân sách</t>
  </si>
  <si>
    <t>Tăng khả năng tương thích giữa các phần mềm được cài đặt trong hệ thống</t>
  </si>
  <si>
    <t xml:space="preserve">Đảm bảo các thành phần trong hệ thống có thể khởi động đồng thời sau khi triển khai </t>
  </si>
  <si>
    <t>Khi mở rộng hệ thống máy chủ vật lý, thông tin nào cần được quản lý chặt chẽ để đảm bảo cấu hình đồng bộ?</t>
  </si>
  <si>
    <t>Tất cả phương án trên</t>
  </si>
  <si>
    <t>Thông tin chi tiết về cấu hình phần cứng, phiên bản hệ điều hành của máy chủ</t>
  </si>
  <si>
    <t xml:space="preserve">Thông tin phiên bản firmware, hypervisor (nếu dùng ảo hóa) </t>
  </si>
  <si>
    <t>Thiết kế cấu trúc kết nối các cổng mạng và FC</t>
  </si>
  <si>
    <t>Tại sao cần thiết lập chính sách phân bổ tài nguyên theo nhu cầu thực tế?</t>
  </si>
  <si>
    <t>Để đảm bảo tài nguyên được phân bổ hợp lý, hiệu quả, tránh phân bổ thừa so với nhu cầu và phù hợp với từng mục tiêu vận hành</t>
  </si>
  <si>
    <t>Để dễ dàng thay đổi điều chỉnh cấu hình hệ thống theo yêu cầu</t>
  </si>
  <si>
    <t>Để giảm thời gian triển khai ban đầu cho toàn bộ hệ thống</t>
  </si>
  <si>
    <t>Nhằm giảm thời gian cấu hình phần cứng ban đầu cho toàn bộ hệ thống</t>
  </si>
  <si>
    <t>Khi hệ thống gặp lỗi mạng nội bộ không truy cập được internet, bước đầu tiên cần thực hiện là gì?</t>
  </si>
  <si>
    <t>Kiểm tra kết nối vật lý, cáp mạng, đèn tín hiệu switch/modem để xác định có mất kết nối cơ bản hay không.</t>
  </si>
  <si>
    <t xml:space="preserve">Gọi ngay cho nhà cung cấp dịch vụ Internet (ISP) yêu cầu kiểm tra đường truyền
</t>
  </si>
  <si>
    <t xml:space="preserve">Khởi động lại các thiết bị modem internet hoặc router internet </t>
  </si>
  <si>
    <t>Gỡ bỏ các driver card mạng và cài đặt lại để khôi phục lại kết nối</t>
  </si>
  <si>
    <t>Lý do nào sau đây là quan trọng nhất khi cần phân loại mức độ sự cố hạ tầng?</t>
  </si>
  <si>
    <t>Xác định thứ tự ưu tiên xử lý sự cố và tối ưu nguồn lực khắc phục sự cố</t>
  </si>
  <si>
    <t xml:space="preserve">Để giảm số lượng thiết bị cần kiểm tra khi xử lý sự cố
</t>
  </si>
  <si>
    <t>Để dễ dàng trong việc phân công công việc và cập nhật tài liệu kỹ thuật</t>
  </si>
  <si>
    <t>Đảm bảo các sự cố đều được xử lý theo quy trình quản lý sự cố</t>
  </si>
  <si>
    <t>Hệ thống mạng nội bộ tại văn phòng chính thường xuyên bị gián đoạn kết nối trong giờ cao điểm. Qua giám sát, phát hiện switch phân phối bị quá tải do chia subnet không hợp lý và thiếu cơ chế cân bằng lưu lượng. Anh/Chị cần đề xuất phương án xử lý để đảm bảo tính ổn định lâu dài.</t>
  </si>
  <si>
    <t>Triển khai lại kiến trúc mạng bằng cách chia lại subnet hợp lý theo từng phòng ban/khu vực và cấu hình thêm cơ chế cân bằng tải mạng (load balancing)</t>
  </si>
  <si>
    <t>Thay thế các thiết bị mạng switch phân phối bằng thiết bị cao cấp hơn</t>
  </si>
  <si>
    <t>Giới hạn truy cập internet của các máy tính trong nội bộ văn phòng nhằm giảm tải lưu lượng truy cập mạng</t>
  </si>
  <si>
    <t>Trang bị thêm các thiết bị switch cho nhân viên để tránh quá tải thiết bị hiện có</t>
  </si>
  <si>
    <t>Khi kiểm tra lại hệ thống server trung tâm, phát hiện một số server có tỷ lệ sử dụng tài nguyên rất thấp trong khi các server khác thường xuyên quá tải. Tình trạng này dẫn đến chậm dịch vụ vào giờ cao điểm. Anh/Chị sẽ đề xuất biện pháp nào để khắc phục hiệu quả và tối ưu vận hành?</t>
  </si>
  <si>
    <t>Triển khai các cơ chế cân bằng tải và phân phối workload giữa các server để sử dụng tài nguyên đồng đều hơn</t>
  </si>
  <si>
    <t>Di chuyển bớt ứng dụng lên các server ít sử dụng</t>
  </si>
  <si>
    <t>Giảm số lượng các ứng dụng chạy trên các máy chủ quá tải để tránh tình trạng chậm dịch vụ vào giờ cảo điểm</t>
  </si>
  <si>
    <t>Nâng cấp tài nguyên (CPU, RAM, Disk) cho máy chủ đang bị quá tải</t>
  </si>
  <si>
    <t>Trong quá trình rà soát tài nguyên hệ thống tại Napas, phát hiện nhiều máy chủ đang hoạt động nhưng không có hệ thống nào sử dụng trực tiếp. Một số tài nguyên được phân bổ vượt quá nhu cầu thực tế. Anh/Chị cần đề xuất giải pháp nào để tối ưu hiệu suất và giảm lãng phí?</t>
  </si>
  <si>
    <t>Thực hiện rà soát, đánh giá lại toàn bộ tài nguyên hệ thống và thực hiện phân bổ lại tài nguyên đồng đều trên các hệ thống</t>
  </si>
  <si>
    <t>Tắt toàn bộ máy chủ đang hoạt động nhưng không có hệ thống nào sử dụng</t>
  </si>
  <si>
    <t>Duy trì trạng thái hiện tại để dự phòng tài nguyên cho nhu cầu phát sinh và triển khai thêm các dịch vụ mới vào các máy chủ chưa sử dụng để tận dụng phần cứng khi có nhu cầu</t>
  </si>
  <si>
    <t>Dịch chuyển toàn bộ dịch vụ sang Public Cloud để tối ưu nhu cầu sử dụng tài nguyên hạ tầng và tối ưu chi phí đầu tư</t>
  </si>
  <si>
    <t>Một đơn vị vận hành liên tục phản ánh việc cấu hình máy chủ mới mỗi lần triển khai đều mất nhiều thời gian do không có mẫu cấu hình chuẩn. Việc này gây chậm tiến độ dự án. Anh/Chị cần đề xuất cải tiến gì?</t>
  </si>
  <si>
    <t>Xây dựng tiêu chuẩn cấu hình và áp dụng các công cụ tự động hóa để triển khai đồng bộ cấu hình các máy chủ</t>
  </si>
  <si>
    <t>Yêu cầu các nhân sự phụ trách hạ tầng tracking lại các bước cấu hình để làm tài liệu nội bộ cho các lần sau</t>
  </si>
  <si>
    <t>Sử dụng một template máy ảo hóa cho toàn bộ các máy chủ</t>
  </si>
  <si>
    <t>Các đơn vị yêu cầu phải cung cấp cấu hình riêng theo nhu cầu trước khi triển khai</t>
  </si>
  <si>
    <t>Một hệ thống máy chủ Production bị treo định kỳ vào ban đêm khiến quá trình backup tự động thất bại. Nhật ký log ghi nhận lỗi tài nguyên không được giải phóng đúng cách từ một ứng dụng chạy nền. Anh/Chị cần đề xuất giải pháp để xử lý triệt để và ngăn ngừa lỗi tương tự tái diễn.</t>
  </si>
  <si>
    <t>Kiểm tra, tối ưu và sửa lỗi ứng dụng chạy nền, thiết lập cơ chế giám sát tài nguyên và tự động cảnh báo khi phát hiện có bất thường.</t>
  </si>
  <si>
    <t>Lên lịch và khởi động lại máy chủ trước mỗi lần backup để tránh bị treo máy</t>
  </si>
  <si>
    <t>Tăng thêm tài nguyên RAM và CPU cho máy chủ để giảm nguy cơ treo máy chủ vào ban đêm</t>
  </si>
  <si>
    <t>Dời lịch backup sang ban ngày khi có nhân sự trực vận hành để xử lý sự cố được nhanh chóng hơn</t>
  </si>
  <si>
    <t>Một sự cố mạng phát sinh vào sáng thứ Hai khiến toàn bộ hệ thống không thể truy cập. Qua kiểm tra, thiết bị định tuyến chính bị treo và log cảnh báo đã đầy. Anh/Chị cần đề xuất giải pháp nào để đảm bảo sự cố không lặp lại?</t>
  </si>
  <si>
    <t>Thiết lập lịch tự động rotate log, cấu hình đẩy log ra hệ thống lưu trữ tập trung và thiết lập các cảnh báo</t>
  </si>
  <si>
    <t>Tắt chức năng ghi log để giảm tải cho thiết bị</t>
  </si>
  <si>
    <t>Định kỳ thực hiện khởi động lại thiết bị mỗi tuần để tránh bị treo</t>
  </si>
  <si>
    <t>Nâng cấp thiết bị định tuyến lên dòng cao hơn để tránh bị quá tải log</t>
  </si>
  <si>
    <t>Một sự cố nghiêm trọng xảy ra khi UPS trung tâm hết pin đột ngột, khiến toàn bộ hệ thống mạng nội bộ và các server tại phòng máy bị sập trong giờ cao điểm. Điều tra cho thấy hệ thống giám sát không cảnh báo tình trạng pin yếu, và chưa có kế hoạch kiểm tra định kỳ tình trạng thiết bị điện. Anh/Chị cần đề xuất giải pháp toàn diện để xử lý và ngăn ngừa sự cố tương tự.</t>
  </si>
  <si>
    <t>Thiết lập hệ thống giám sát UPS và cảnh báo khi có sự kiện bất thường với UPS. Xây dựng kế hoạch bảo trì định kỳ thiết bị điện và thay thế các thiết bị cũ hỏng.</t>
  </si>
  <si>
    <t>Mua thêm UPS dự phòng để thay thế ngay khi thiết bị chính xảy ra lỗi.</t>
  </si>
  <si>
    <t>Chuyển toàn bộ hệ thống lên Cloud để không phụ thuộc vào hạ tầng phòng máy chủ</t>
  </si>
  <si>
    <t>Tăng cường đào tạo cho nhân viên vận hành phòng máy chủ để phát hiện sự cố nhanh hơn</t>
  </si>
  <si>
    <t>Một đơn vị đối tác triển khai hệ thống hội nghị trực tuyến tại chi nhánh, nhưng liên tục gặp sự cố mất kết nối trong các buổi họp lớn. Kiểm tra cho thấy thiết bị mạng không đáp ứng băng thông và không có cấu hình ưu tiên lưu lượng video. Anh/Chị cần đề xuất giải pháp nâng cấp hạ tầng để đảm bảo chất lượng kết nối hội nghị.</t>
  </si>
  <si>
    <t>Nâng cấp bằng thông và triền khai QoS để ưu tiên lưu lượng video và thay thế thiết bị mạng có cấu hình cao hơn.</t>
  </si>
  <si>
    <t>Đề xuất sử dụng phần mềm hội nghị khác có giao thức nén dữ liệu tốt hơn để giảm tải băng thông</t>
  </si>
  <si>
    <t>Yêu cầu hạn chế số lượng người tham gia hội nghị trực tuyến để giảm tải lưu lượng mạng</t>
  </si>
  <si>
    <t>Bổ sung thêm thiết bị phát wifi trong khu vực phòng họp</t>
  </si>
  <si>
    <t>Một lỗi nghiêm trọng xảy ra khi đội triển khai cập nhật cấu hình bảo mật cho các máy chủ môi trường Production, nhưng áp dụng nhầm cấu hình từ môi trường thử nghiệm. Việc này khiến các dịch vụ quan trọng bị dừng hoạt động đột ngột vào giờ cao điểm. Kiểm tra cho thấy chưa có cơ chế phân tách cấu hình và không có bước kiểm thử cấu hình trước triển khai chính thức. Anh/Chị cần đề xuất biện pháp phòng ngừa và quy trình kiểm soát cấu hình hệ thống.</t>
  </si>
  <si>
    <t>Triển khai hệ thống quản lý cấu hình tập trung, áp dụng quy trình quản lý thay đổi với các bước kiểm thử trên môi trường test trước khi triển khai trên môi trường Production và xây dựng kế hoạch rollback nếu có lỗi xảy ra.</t>
  </si>
  <si>
    <t>Đào tạo cho nhân sự triển khai về các quy trình quản lý bản vá và cập nhật hệ thống</t>
  </si>
  <si>
    <t>Sao lưu toàn bộ cấu hình trước khi triển khai cập nhật để có thể phục hồi khi cần</t>
  </si>
  <si>
    <t>Sử dụng chung một bộ cấu hình tiêu chuẩn cho tất cả môi trường để tránh phát sinh lỗi</t>
  </si>
  <si>
    <t>Một hệ thống mới được triển khai với cấu hình mặc định chưa được điều chỉnh theo yêu cầu đặc thù của nghiệp vụ, dẫn đến việc dịch vụ bị ngắt kết nối khi khối lượng truy cập tăng cao. Ngoài ra, các thông số hệ điều hành chưa được tinh chỉnh theo tiêu chuẩn vận hành thực tế. Anh/Chị cần đề xuất quy trình thiết lập cấu hình hệ thống mới để ngăn ngừa tình trạng tương tự.</t>
  </si>
  <si>
    <t>Áp dụng quy trình chuẩn hóa cấu hình hệ thống bao gồm: khảo sát yêu cầu nghiệp vụ, tinh chỉnh cấu hình theo best practice, kiểm thử tải trước khi đưa vào vận hành chính thức, và giám sát hiệu năng sau triển khai</t>
  </si>
  <si>
    <t>Bổ sung tài nguyên phần cứng, máy chủ để tăng năng lực của hệ thống</t>
  </si>
  <si>
    <t>Chỉnh sửa cấu hình theo yêu cầu của từng hệ thống</t>
  </si>
  <si>
    <t>Sử dụng cấu hình từ một dự án khác đã chạy ổn định</t>
  </si>
  <si>
    <t>Trong quá trình nâng cấp hệ thống trung tâm dữ liệu, nhóm triển khai phát hiện một số server không khởi động lại sau cập nhật firmware. Các máy này thuộc cụm dịch vụ quan trọng, gây dừng đột ngột hệ thống thanh toán trong gần 30 phút. Kiểm tra cho thấy không có quy trình kiểm thử firmware và thiếu kế hoạch rollback tức thì. Anh/Chị cần đề xuất phương án kỹ thuật và quy trình vận hành để ngăn lỗi tương tự.</t>
  </si>
  <si>
    <t xml:space="preserve"> Xây dựng quy trình nâng cấp firmware chuẩn bao gồm: kiểm thử trên môi trường test trước, triển khai theo lộ trình từng phần, chuẩn bị sẵn bản firmware cũ để rollback nhanh, và thực hiện ngoài giờ cao điểm</t>
  </si>
  <si>
    <t>Lên kế hoạch tắt hết các dịch vụ trước khi nâng cấp firmware</t>
  </si>
  <si>
    <t>Không thực hiện nâng cấp firmware để tránh rủi ro nếu hệ thống đang chạy ổn định với bản firmware hiện tại</t>
  </si>
  <si>
    <t>Chỉ nâng cấp firmware vào ngoài giờ làm việc để tránh thời gian cao điểm</t>
  </si>
  <si>
    <t>Tại sao cần thường xuyên kiểm tra tình trạng hoạt động của thiết bị hạ tầng CNTT?
(1) Để phát hiện sớm các lỗi tiềm ẩn, tránh gián đoạn hệ thống
(2) Đảm bảo hiệu suất hoạt động tối ưu của hệ thống
(3) Giảm thiểu rủi ro bảo mật và tấn công mạng</t>
  </si>
  <si>
    <t>Tất cả các phương án trên</t>
  </si>
  <si>
    <t>Phương án 1</t>
  </si>
  <si>
    <t>Phương án 2</t>
  </si>
  <si>
    <t>Phương án 3</t>
  </si>
  <si>
    <t>Mục đích của việc lập danh mục tài nguyên hệ thống CNTT là gì?
(1) Quản lý tập trung, nắm rõ thông tin về các tài nguyên CNTT (phần cứng, phần mềm, dữ liệu)
(2) Hỗ trợ công tác bảo trì, nâng cấp và xử lý sự cố kịp thời
(3) Tối ưu hóa chi phí và tránh lãng phí tài nguyên do không kiểm soát được</t>
  </si>
  <si>
    <t>Tại sao cần ghi nhật ký (log) các sự cố xảy ra trong hệ thống CNTT?
(1) Để phân tích nguyên nhân, khắc phục sự cố nhanh chóng và ngăn ngừa tái diễn
(2) Phục vụ công tác kiểm toán, tuân thủ các tiêu chuẩn bảo mật
(3) Cung cấp bằng chứng pháp lý khi xảy ra tranh chấp hoặc tấn công mạng</t>
  </si>
  <si>
    <t>Sau một đợt mất điện kéo dài tại trung tâm dữ liệu, hệ thống giám sát không khởi động lại do phụ thuộc vào thứ tự nạp dịch vụ sai. Điều này khiến không phát hiện được sự cố ở các dịch vụ khác trong suốt 2 giờ. Anh/Chị cần đề xuất cải tiến hạ tầng và quy trình khởi động hệ thống để phòng ngừa rủi ro tương tự.</t>
  </si>
  <si>
    <t>Cài đặt hệ thống giám sát sử dụng UPS riêng để tránh mất điện</t>
  </si>
  <si>
    <t>Cài đặt lại hệ thống sau mỗi lần mất điện</t>
  </si>
  <si>
    <t>Tăng cường nhân sự giám sát để theo dõi hệ thống khi mất điện</t>
  </si>
  <si>
    <r>
      <rPr>
        <b/>
        <sz val="10"/>
        <color theme="1"/>
        <rFont val="Arial"/>
        <family val="2"/>
      </rPr>
      <t>Khôi phục dịch vụ nhanh nhấ</t>
    </r>
    <r>
      <rPr>
        <sz val="10"/>
        <color theme="1"/>
        <rFont val="Arial"/>
        <family val="2"/>
      </rPr>
      <t>t có thể để giảm thiểu thời gian gián đoạn.</t>
    </r>
  </si>
  <si>
    <r>
      <t xml:space="preserve">Hiệu suất, lưu lượng, tính sẵn sàng và các </t>
    </r>
    <r>
      <rPr>
        <b/>
        <sz val="10"/>
        <color theme="1"/>
        <rFont val="Arial"/>
        <family val="2"/>
      </rPr>
      <t>dấu hiệu bất thường</t>
    </r>
    <r>
      <rPr>
        <sz val="10"/>
        <color theme="1"/>
        <rFont val="Arial"/>
        <family val="2"/>
      </rPr>
      <t xml:space="preserve"> trong hoạt động của hệ thống mạng </t>
    </r>
  </si>
  <si>
    <r>
      <t xml:space="preserve">Để đảm bảo tài nguyên được sử dụng </t>
    </r>
    <r>
      <rPr>
        <b/>
        <sz val="10"/>
        <color theme="1"/>
        <rFont val="Arial"/>
        <family val="2"/>
      </rPr>
      <t>hiệu quả, tránh lãng phí</t>
    </r>
    <r>
      <rPr>
        <sz val="10"/>
        <color theme="1"/>
        <rFont val="Arial"/>
        <family val="2"/>
      </rPr>
      <t xml:space="preserve"> và hỗ trợ mở rộng trong tương lai</t>
    </r>
  </si>
  <si>
    <r>
      <t xml:space="preserve">Cải thiện </t>
    </r>
    <r>
      <rPr>
        <b/>
        <sz val="10"/>
        <color theme="1"/>
        <rFont val="Arial"/>
        <family val="2"/>
      </rPr>
      <t>hiệu suất, bảo mật và khả năng kiểm soát</t>
    </r>
    <r>
      <rPr>
        <sz val="10"/>
        <color theme="1"/>
        <rFont val="Arial"/>
        <family val="2"/>
      </rPr>
      <t xml:space="preserve"> lưu lượng mạng
</t>
    </r>
  </si>
  <si>
    <r>
      <t xml:space="preserve">Khi mở rộng hệ thống máy chủ vật lý, thông tin nào cần được quản lý chặt chẽ để đảm bảo </t>
    </r>
    <r>
      <rPr>
        <b/>
        <sz val="10"/>
        <color theme="1"/>
        <rFont val="Arial"/>
        <family val="2"/>
      </rPr>
      <t>cấu hình đồng bộ</t>
    </r>
    <r>
      <rPr>
        <sz val="10"/>
        <color theme="1"/>
        <rFont val="Arial"/>
        <family val="2"/>
      </rPr>
      <t>?
(1) Thông tin chi tiết về cấu hình phần cứng, phiên bản hệ điều hành của máy chủ
(2) Thông tin phiên bản firmware, hypervisor (nếu dùng ảo hóa) 
(3) Thiết kế cấu trúc kết nối các cổng mạng và FC</t>
    </r>
  </si>
  <si>
    <r>
      <t xml:space="preserve">Để đảm bảo tài nguyên được </t>
    </r>
    <r>
      <rPr>
        <b/>
        <sz val="10"/>
        <rFont val="Arial"/>
        <family val="2"/>
      </rPr>
      <t>phân bổ hợp lý, hiệu quả,</t>
    </r>
    <r>
      <rPr>
        <sz val="10"/>
        <rFont val="Arial"/>
        <family val="2"/>
      </rPr>
      <t xml:space="preserve"> tránh phân bổ thừa so với nhu cầu và phù hợp với từng mục tiêu vận hành</t>
    </r>
  </si>
  <si>
    <r>
      <t xml:space="preserve">Xác định </t>
    </r>
    <r>
      <rPr>
        <b/>
        <sz val="10"/>
        <rFont val="Arial"/>
        <family val="2"/>
      </rPr>
      <t>thứ tự ưu tiên xử lý sự cố</t>
    </r>
    <r>
      <rPr>
        <sz val="10"/>
        <rFont val="Arial"/>
        <family val="2"/>
      </rPr>
      <t xml:space="preserve"> và tối ưu nguồn lực khắc phục sự cố</t>
    </r>
  </si>
  <si>
    <r>
      <t xml:space="preserve">Lý do nào sau đây là quan trọng nhất khi cần </t>
    </r>
    <r>
      <rPr>
        <b/>
        <sz val="10"/>
        <color theme="1"/>
        <rFont val="Arial"/>
        <family val="2"/>
      </rPr>
      <t>phân loại mức độ sự cố hạ tầng</t>
    </r>
    <r>
      <rPr>
        <sz val="10"/>
        <color theme="1"/>
        <rFont val="Arial"/>
        <family val="2"/>
      </rPr>
      <t>?</t>
    </r>
  </si>
  <si>
    <r>
      <t xml:space="preserve">Hệ thống mạng nội bộ tại văn phòng chính thường xuyên bị gián đoạn kết nối trong giờ cao điểm. Qua giám sát, phát hiện switch phân phối bị quá tải do </t>
    </r>
    <r>
      <rPr>
        <b/>
        <sz val="10"/>
        <color theme="1"/>
        <rFont val="Arial"/>
        <family val="2"/>
      </rPr>
      <t>chia subnet không hợp lý</t>
    </r>
    <r>
      <rPr>
        <sz val="10"/>
        <color theme="1"/>
        <rFont val="Arial"/>
        <family val="2"/>
      </rPr>
      <t xml:space="preserve"> và thiếu cơ chế cân bằng lưu lượng. Anh/Chị cần đề xuất phương án xử lý để đảm bảo tính ổn định lâu dài.</t>
    </r>
  </si>
  <si>
    <r>
      <t>Triển khai lại kiến trúc mạng bằng cách</t>
    </r>
    <r>
      <rPr>
        <b/>
        <sz val="10"/>
        <color theme="1"/>
        <rFont val="Arial"/>
        <family val="2"/>
      </rPr>
      <t xml:space="preserve"> chia lại subnet hợp lý</t>
    </r>
    <r>
      <rPr>
        <sz val="10"/>
        <color theme="1"/>
        <rFont val="Arial"/>
        <family val="2"/>
      </rPr>
      <t xml:space="preserve"> theo từng phòng ban/khu vực và cấu hình thêm cơ chế cân bằng tải mạng (load balancing)</t>
    </r>
  </si>
  <si>
    <r>
      <t xml:space="preserve">Khi kiểm tra lại hệ thống server trung tâm, phát hiện một số server có tỷ lệ sử dụng tài nguyên </t>
    </r>
    <r>
      <rPr>
        <b/>
        <sz val="10"/>
        <color theme="1"/>
        <rFont val="Arial"/>
        <family val="2"/>
      </rPr>
      <t>rất thấp</t>
    </r>
    <r>
      <rPr>
        <sz val="10"/>
        <color theme="1"/>
        <rFont val="Arial"/>
        <family val="2"/>
      </rPr>
      <t xml:space="preserve"> trong khi các server khác thường xuyên</t>
    </r>
    <r>
      <rPr>
        <b/>
        <sz val="10"/>
        <color theme="1"/>
        <rFont val="Arial"/>
        <family val="2"/>
      </rPr>
      <t xml:space="preserve"> quá tải</t>
    </r>
    <r>
      <rPr>
        <sz val="10"/>
        <color theme="1"/>
        <rFont val="Arial"/>
        <family val="2"/>
      </rPr>
      <t>. Tình trạng này dẫn đến chậm dịch vụ vào giờ cao điểm. Anh/Chị sẽ đề xuất biện pháp nào để khắc phục hiệu quả và tối ưu vận hành?</t>
    </r>
  </si>
  <si>
    <r>
      <t xml:space="preserve">Triển khai các cơ chế </t>
    </r>
    <r>
      <rPr>
        <b/>
        <sz val="10"/>
        <color theme="1"/>
        <rFont val="Arial"/>
        <family val="2"/>
      </rPr>
      <t>cân bằng tải</t>
    </r>
    <r>
      <rPr>
        <sz val="10"/>
        <color theme="1"/>
        <rFont val="Arial"/>
        <family val="2"/>
      </rPr>
      <t xml:space="preserve"> và phân phối workload giữa các server để sử dụng tài nguyên đồng đều hơn</t>
    </r>
  </si>
  <si>
    <r>
      <t xml:space="preserve">Trong quá trình rà soát tài nguyên hệ thống tại Napas, phát hiện nhiều máy chủ đang hoạt động nhưng </t>
    </r>
    <r>
      <rPr>
        <b/>
        <sz val="10"/>
        <color theme="1"/>
        <rFont val="Arial"/>
        <family val="2"/>
      </rPr>
      <t>không có hệ thống nào sử dụng trực tiếp</t>
    </r>
    <r>
      <rPr>
        <sz val="10"/>
        <color theme="1"/>
        <rFont val="Arial"/>
        <family val="2"/>
      </rPr>
      <t>. Một số tài nguyên được phân bổ vượt quá nhu cầu thực tế. Anh/Chị cần đề xuất giải pháp nào để tối ưu hiệu suất và giảm lãng phí?</t>
    </r>
  </si>
  <si>
    <r>
      <t xml:space="preserve">Thực hiện rà soát, đánh giá lại toàn bộ tài nguyên hệ thống và thực hiện </t>
    </r>
    <r>
      <rPr>
        <b/>
        <sz val="10"/>
        <color theme="1"/>
        <rFont val="Arial"/>
        <family val="2"/>
      </rPr>
      <t>phân bổ lại tài nguyên</t>
    </r>
    <r>
      <rPr>
        <sz val="10"/>
        <color theme="1"/>
        <rFont val="Arial"/>
        <family val="2"/>
      </rPr>
      <t xml:space="preserve"> đồng đều trên các hệ thống</t>
    </r>
  </si>
  <si>
    <r>
      <t xml:space="preserve">Một đơn vị vận hành liên tục phản ánh việc cấu hình máy chủ mới mỗi lần triển khai đều mất nhiều thời gian do </t>
    </r>
    <r>
      <rPr>
        <b/>
        <sz val="10"/>
        <color theme="1"/>
        <rFont val="Arial"/>
        <family val="2"/>
      </rPr>
      <t>không có mẫu cấu hình chuẩn</t>
    </r>
    <r>
      <rPr>
        <sz val="10"/>
        <color theme="1"/>
        <rFont val="Arial"/>
        <family val="2"/>
      </rPr>
      <t>. Việc này gây chậm tiến độ dự án. Anh/Chị cần đề xuất cải tiến gì?</t>
    </r>
  </si>
  <si>
    <r>
      <t xml:space="preserve">Xây dựng </t>
    </r>
    <r>
      <rPr>
        <b/>
        <sz val="10"/>
        <color theme="1"/>
        <rFont val="Arial"/>
        <family val="2"/>
      </rPr>
      <t>tiêu chuẩn cấu hình</t>
    </r>
    <r>
      <rPr>
        <sz val="10"/>
        <color theme="1"/>
        <rFont val="Arial"/>
        <family val="2"/>
      </rPr>
      <t xml:space="preserve"> và áp dụng các công cụ tự động hóa để triển khai đồng bộ cấu hình các máy chủ</t>
    </r>
  </si>
  <si>
    <r>
      <t xml:space="preserve">Một hệ thống máy chủ Production bị treo định kỳ vào ban đêm khiến quá trình backup tự động thất bại. Nhật ký log ghi nhận lỗi </t>
    </r>
    <r>
      <rPr>
        <b/>
        <sz val="10"/>
        <color theme="1"/>
        <rFont val="Arial"/>
        <family val="2"/>
      </rPr>
      <t>tài nguyên không được giải phóng</t>
    </r>
    <r>
      <rPr>
        <sz val="10"/>
        <color theme="1"/>
        <rFont val="Arial"/>
        <family val="2"/>
      </rPr>
      <t xml:space="preserve"> đúng cách từ một </t>
    </r>
    <r>
      <rPr>
        <b/>
        <sz val="10"/>
        <color theme="1"/>
        <rFont val="Arial"/>
        <family val="2"/>
      </rPr>
      <t>ứng dụng chạy nền</t>
    </r>
    <r>
      <rPr>
        <sz val="10"/>
        <color theme="1"/>
        <rFont val="Arial"/>
        <family val="2"/>
      </rPr>
      <t>. Anh/Chị cần đề xuất giải pháp để xử lý triệt để và ngăn ngừa lỗi tương tự tái diễn.</t>
    </r>
  </si>
  <si>
    <r>
      <t>Kiểm tra,</t>
    </r>
    <r>
      <rPr>
        <b/>
        <sz val="10"/>
        <color theme="1"/>
        <rFont val="Arial"/>
        <family val="2"/>
      </rPr>
      <t xml:space="preserve"> tối ưu và sửa lỗi ứng dụng chạy nền</t>
    </r>
    <r>
      <rPr>
        <sz val="10"/>
        <color theme="1"/>
        <rFont val="Arial"/>
        <family val="2"/>
      </rPr>
      <t xml:space="preserve">, thiết lập cơ chế </t>
    </r>
    <r>
      <rPr>
        <b/>
        <sz val="10"/>
        <color theme="1"/>
        <rFont val="Arial"/>
        <family val="2"/>
      </rPr>
      <t>giám sát tài nguyên</t>
    </r>
    <r>
      <rPr>
        <sz val="10"/>
        <color theme="1"/>
        <rFont val="Arial"/>
        <family val="2"/>
      </rPr>
      <t xml:space="preserve"> và tự động cảnh báo khi phát hiện có bất thường.</t>
    </r>
  </si>
  <si>
    <r>
      <t>Một sự cố mạng phát sinh vào sáng thứ Hai khiến toàn bộ hệ thống không thể truy cập. Qua kiểm tra, thiết bị định tuyến chính bị treo và l</t>
    </r>
    <r>
      <rPr>
        <b/>
        <sz val="10"/>
        <color theme="1"/>
        <rFont val="Arial"/>
        <family val="2"/>
      </rPr>
      <t>og cảnh báo đã đầy</t>
    </r>
    <r>
      <rPr>
        <sz val="10"/>
        <color theme="1"/>
        <rFont val="Arial"/>
        <family val="2"/>
      </rPr>
      <t>. Anh/Chị cần đề xuất giải pháp nào để đảm bảo sự cố không lặp lại?</t>
    </r>
  </si>
  <si>
    <r>
      <t xml:space="preserve">Thiết lập lịch </t>
    </r>
    <r>
      <rPr>
        <b/>
        <sz val="10"/>
        <color theme="1"/>
        <rFont val="Arial"/>
        <family val="2"/>
      </rPr>
      <t>tự động rotate log</t>
    </r>
    <r>
      <rPr>
        <sz val="10"/>
        <color theme="1"/>
        <rFont val="Arial"/>
        <family val="2"/>
      </rPr>
      <t>, cấu hình đẩy log ra hệ thống lưu trữ tập trung và thiết lập các cảnh báo</t>
    </r>
  </si>
  <si>
    <r>
      <t xml:space="preserve">Một sự cố nghiêm trọng xảy ra khi UPS trung tâm hết pin đột ngột, khiến toàn bộ hệ thống mạng nội bộ và các server tại phòng máy bị sập trong giờ cao điểm. Điều tra cho thấy </t>
    </r>
    <r>
      <rPr>
        <b/>
        <sz val="10"/>
        <color theme="1"/>
        <rFont val="Arial"/>
        <family val="2"/>
      </rPr>
      <t>hệ thống giám sát không cảnh báo</t>
    </r>
    <r>
      <rPr>
        <sz val="10"/>
        <color theme="1"/>
        <rFont val="Arial"/>
        <family val="2"/>
      </rPr>
      <t xml:space="preserve"> tình trạng pin yếu, và chưa có kế hoạch</t>
    </r>
    <r>
      <rPr>
        <b/>
        <sz val="10"/>
        <color theme="1"/>
        <rFont val="Arial"/>
        <family val="2"/>
      </rPr>
      <t xml:space="preserve"> kiểm tra định kỳ</t>
    </r>
    <r>
      <rPr>
        <sz val="10"/>
        <color theme="1"/>
        <rFont val="Arial"/>
        <family val="2"/>
      </rPr>
      <t xml:space="preserve"> tình trạng thiết bị điện. Anh/Chị cần đề xuất giải pháp toàn diện để xử lý và ngăn ngừa sự cố tương tự.</t>
    </r>
  </si>
  <si>
    <r>
      <t>T</t>
    </r>
    <r>
      <rPr>
        <b/>
        <sz val="10"/>
        <color theme="1"/>
        <rFont val="Arial"/>
        <family val="2"/>
      </rPr>
      <t>hiết lập hệ thống giám sát</t>
    </r>
    <r>
      <rPr>
        <sz val="10"/>
        <color theme="1"/>
        <rFont val="Arial"/>
        <family val="2"/>
      </rPr>
      <t xml:space="preserve"> UPS và cảnh báo khi có sự kiện bất thường với UPS. </t>
    </r>
    <r>
      <rPr>
        <b/>
        <sz val="10"/>
        <color theme="1"/>
        <rFont val="Arial"/>
        <family val="2"/>
      </rPr>
      <t>Xây dựng kế hoạch bảo trì định kỳ</t>
    </r>
    <r>
      <rPr>
        <sz val="10"/>
        <color theme="1"/>
        <rFont val="Arial"/>
        <family val="2"/>
      </rPr>
      <t xml:space="preserve"> thiết bị điện và thay thế các thiết bị cũ hỏng.</t>
    </r>
  </si>
  <si>
    <r>
      <t xml:space="preserve">Một đơn vị đối tác triển khai hệ thống hội nghị trực tuyến tại chi nhánh, nhưng liên tục gặp sự cố mất kết nối trong các buổi họp lớn. Kiểm tra cho thấy </t>
    </r>
    <r>
      <rPr>
        <b/>
        <sz val="10"/>
        <color theme="1"/>
        <rFont val="Arial"/>
        <family val="2"/>
      </rPr>
      <t>thiết bị mạng không đáp ứng băng thông</t>
    </r>
    <r>
      <rPr>
        <sz val="10"/>
        <color theme="1"/>
        <rFont val="Arial"/>
        <family val="2"/>
      </rPr>
      <t xml:space="preserve"> và </t>
    </r>
    <r>
      <rPr>
        <b/>
        <sz val="10"/>
        <color theme="1"/>
        <rFont val="Arial"/>
        <family val="2"/>
      </rPr>
      <t>không</t>
    </r>
    <r>
      <rPr>
        <sz val="10"/>
        <color theme="1"/>
        <rFont val="Arial"/>
        <family val="2"/>
      </rPr>
      <t xml:space="preserve"> có cấu hình</t>
    </r>
    <r>
      <rPr>
        <b/>
        <sz val="10"/>
        <color theme="1"/>
        <rFont val="Arial"/>
        <family val="2"/>
      </rPr>
      <t xml:space="preserve"> ưu tiên lưu lượng video</t>
    </r>
    <r>
      <rPr>
        <sz val="10"/>
        <color theme="1"/>
        <rFont val="Arial"/>
        <family val="2"/>
      </rPr>
      <t>. Anh/Chị cần đề xuất giải pháp nâng cấp hạ tầng để đảm bảo chất lượng kết nối hội nghị.</t>
    </r>
  </si>
  <si>
    <r>
      <t xml:space="preserve">Nâng cấp bằng thông và triền khai </t>
    </r>
    <r>
      <rPr>
        <b/>
        <sz val="10"/>
        <color theme="1"/>
        <rFont val="Arial"/>
        <family val="2"/>
      </rPr>
      <t xml:space="preserve">QoS </t>
    </r>
    <r>
      <rPr>
        <sz val="10"/>
        <color theme="1"/>
        <rFont val="Arial"/>
        <family val="2"/>
      </rPr>
      <t xml:space="preserve">để </t>
    </r>
    <r>
      <rPr>
        <b/>
        <sz val="10"/>
        <color theme="1"/>
        <rFont val="Arial"/>
        <family val="2"/>
      </rPr>
      <t>ưu tiên lưu lượng video</t>
    </r>
    <r>
      <rPr>
        <sz val="10"/>
        <color theme="1"/>
        <rFont val="Arial"/>
        <family val="2"/>
      </rPr>
      <t xml:space="preserve"> và thay thế thiết bị mạng có cấu hình cao hơn.</t>
    </r>
  </si>
  <si>
    <r>
      <t xml:space="preserve">Một lỗi nghiêm trọng xảy ra khi đội triển khai cập nhật cấu hình bảo mật cho các máy chủ môi trường Production, nhưng áp dụng nhầm cấu hình từ môi trường thử nghiệm. Việc này khiến các dịch vụ quan trọng bị dừng hoạt động đột ngột vào giờ cao điểm. Kiểm tra cho thấy chưa có </t>
    </r>
    <r>
      <rPr>
        <b/>
        <sz val="10"/>
        <color theme="1"/>
        <rFont val="Arial"/>
        <family val="2"/>
      </rPr>
      <t xml:space="preserve">cơ chế phân tách cấu hình </t>
    </r>
    <r>
      <rPr>
        <sz val="10"/>
        <color theme="1"/>
        <rFont val="Arial"/>
        <family val="2"/>
      </rPr>
      <t xml:space="preserve">và không có bước </t>
    </r>
    <r>
      <rPr>
        <b/>
        <sz val="10"/>
        <color theme="1"/>
        <rFont val="Arial"/>
        <family val="2"/>
      </rPr>
      <t>kiểm thử cấu hình</t>
    </r>
    <r>
      <rPr>
        <sz val="10"/>
        <color theme="1"/>
        <rFont val="Arial"/>
        <family val="2"/>
      </rPr>
      <t xml:space="preserve"> trước triển khai chính thức. Anh/Chị cần đề xuất biện pháp phòng ngừa và quy trình kiểm soát cấu hình hệ thống.</t>
    </r>
  </si>
  <si>
    <r>
      <t>Triển khai h</t>
    </r>
    <r>
      <rPr>
        <b/>
        <sz val="10"/>
        <color theme="1"/>
        <rFont val="Arial"/>
        <family val="2"/>
      </rPr>
      <t>ệ thống quản lý cấu hình tập trung</t>
    </r>
    <r>
      <rPr>
        <sz val="10"/>
        <color theme="1"/>
        <rFont val="Arial"/>
        <family val="2"/>
      </rPr>
      <t>, áp dụng quy trình quản lý thay đổi với các bước kiểm thử trên môi trường test trước khi triển khai trên môi trường Production và xây dựng kế hoạch rollback nếu có lỗi xảy ra.</t>
    </r>
  </si>
  <si>
    <r>
      <t xml:space="preserve">Một hệ thống mới được triển khai với cấu hình mặc định chưa được </t>
    </r>
    <r>
      <rPr>
        <b/>
        <sz val="10"/>
        <color theme="1"/>
        <rFont val="Arial"/>
        <family val="2"/>
      </rPr>
      <t>điều chỉnh theo yêu cầu đặc thù của nghiệp vụ</t>
    </r>
    <r>
      <rPr>
        <sz val="10"/>
        <color theme="1"/>
        <rFont val="Arial"/>
        <family val="2"/>
      </rPr>
      <t xml:space="preserve">, dẫn đến việc dịch vụ bị ngắt kết nối khi khối lượng truy cập tăng cao. Ngoài ra, các </t>
    </r>
    <r>
      <rPr>
        <b/>
        <sz val="10"/>
        <color theme="1"/>
        <rFont val="Arial"/>
        <family val="2"/>
      </rPr>
      <t>thông số hệ điều hành chưa được tinh chỉnh</t>
    </r>
    <r>
      <rPr>
        <sz val="10"/>
        <color theme="1"/>
        <rFont val="Arial"/>
        <family val="2"/>
      </rPr>
      <t xml:space="preserve"> theo tiêu chuẩn vận hành thực tế. Anh/Chị cần đề xuất quy trình thiết lập cấu hình hệ thống mới để ngăn ngừa tình trạng tương tự.</t>
    </r>
  </si>
  <si>
    <r>
      <t>Trong quá trình nâng cấp hệ thống trung tâm dữ liệu, nhóm triển khai phát hiện một số server không khởi động lại sau cập nhật firmware. Các máy này thuộc cụm dịch vụ quan trọng, gây dừng đột ngột hệ thống thanh toán trong gần 30 phút. Kiểm tra cho thấy</t>
    </r>
    <r>
      <rPr>
        <b/>
        <sz val="10"/>
        <color theme="1"/>
        <rFont val="Arial"/>
        <family val="2"/>
      </rPr>
      <t xml:space="preserve"> không có quy trình kiểm thử firmware</t>
    </r>
    <r>
      <rPr>
        <sz val="10"/>
        <color theme="1"/>
        <rFont val="Arial"/>
        <family val="2"/>
      </rPr>
      <t xml:space="preserve"> và </t>
    </r>
    <r>
      <rPr>
        <b/>
        <sz val="10"/>
        <color theme="1"/>
        <rFont val="Arial"/>
        <family val="2"/>
      </rPr>
      <t>thiếu kế hoạch rollback</t>
    </r>
    <r>
      <rPr>
        <sz val="10"/>
        <color theme="1"/>
        <rFont val="Arial"/>
        <family val="2"/>
      </rPr>
      <t xml:space="preserve"> tức thì. Anh/Chị cần đề xuất phương án kỹ thuật và quy trình vận hành để ngăn lỗi tương tự.</t>
    </r>
  </si>
  <si>
    <r>
      <t xml:space="preserve">Áp dụng quy trình </t>
    </r>
    <r>
      <rPr>
        <b/>
        <sz val="10"/>
        <color theme="1"/>
        <rFont val="Arial"/>
        <family val="2"/>
      </rPr>
      <t>chuẩn hóa cấu hình hệ thống</t>
    </r>
    <r>
      <rPr>
        <sz val="10"/>
        <color theme="1"/>
        <rFont val="Arial"/>
        <family val="2"/>
      </rPr>
      <t xml:space="preserve"> bao gồm: k</t>
    </r>
    <r>
      <rPr>
        <b/>
        <sz val="10"/>
        <color theme="1"/>
        <rFont val="Arial"/>
        <family val="2"/>
      </rPr>
      <t>hảo sát yêu cầu nghiệp vụ</t>
    </r>
    <r>
      <rPr>
        <sz val="10"/>
        <color theme="1"/>
        <rFont val="Arial"/>
        <family val="2"/>
      </rPr>
      <t>, tinh chỉnh cấu hình theo best practice, kiểm thử tải trước khi đưa vào vận hành chính thức, và giám sát hiệu năng sau triển khai</t>
    </r>
  </si>
  <si>
    <r>
      <t xml:space="preserve"> </t>
    </r>
    <r>
      <rPr>
        <b/>
        <sz val="10"/>
        <color theme="1"/>
        <rFont val="Arial"/>
        <family val="2"/>
      </rPr>
      <t>Xây dựng quy trình nâng cấp firmware</t>
    </r>
    <r>
      <rPr>
        <sz val="10"/>
        <color theme="1"/>
        <rFont val="Arial"/>
        <family val="2"/>
      </rPr>
      <t xml:space="preserve"> chuẩn bao gồm: </t>
    </r>
    <r>
      <rPr>
        <b/>
        <sz val="10"/>
        <color theme="1"/>
        <rFont val="Arial"/>
        <family val="2"/>
      </rPr>
      <t>kiểm thử</t>
    </r>
    <r>
      <rPr>
        <sz val="10"/>
        <color theme="1"/>
        <rFont val="Arial"/>
        <family val="2"/>
      </rPr>
      <t xml:space="preserve"> trên môi trường test trước, triển khai theo lộ trình từng phần, chuẩn bị sẵn bản firmware cũ để </t>
    </r>
    <r>
      <rPr>
        <b/>
        <sz val="10"/>
        <color theme="1"/>
        <rFont val="Arial"/>
        <family val="2"/>
      </rPr>
      <t>rollback</t>
    </r>
    <r>
      <rPr>
        <sz val="10"/>
        <color theme="1"/>
        <rFont val="Arial"/>
        <family val="2"/>
      </rPr>
      <t xml:space="preserve"> nhanh, và thực hiện ngoài giờ cao điểm</t>
    </r>
  </si>
  <si>
    <r>
      <t xml:space="preserve">Thiết lập cơ chế khởi động độc lập cho hệ thống giám sát, cấu hình dependency service đúng cách, triển khai hệ thống giám sát dự phòng và </t>
    </r>
    <r>
      <rPr>
        <b/>
        <sz val="10"/>
        <color rgb="FF000000"/>
        <rFont val="Arial"/>
        <family val="2"/>
      </rPr>
      <t>xây dựng quy trình kiểm tra sau khôi phục lại hệ thống điện</t>
    </r>
    <r>
      <rPr>
        <sz val="10"/>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</si>
</sst>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sz val="11"/>
      <color rgb="FF000000"/>
      <name val="Arial"/>
      <family val="2"/>
    </font>
    <font>
      <b/>
      <sz val="10"/>
      <name val="Arial"/>
      <family val="2"/>
    </font>
    <font>
      <b/>
      <sz val="10"/>
      <color rgb="FF000000"/>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BE2D5"/>
        <bgColor rgb="FF000000"/>
      </patternFill>
    </fill>
    <fill>
      <patternFill patternType="solid">
        <fgColor rgb="FFD0D0D0"/>
        <bgColor rgb="FF000000"/>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thin">
        <color rgb="FFADADAD"/>
      </left>
      <right style="thin">
        <color rgb="FFADADAD"/>
      </right>
      <top style="thin">
        <color rgb="FFADADAD"/>
      </top>
      <bottom style="thin">
        <color rgb="FFADADAD"/>
      </bottom>
      <diagonal/>
    </border>
  </borders>
  <cellStyleXfs count="2">
    <xf numFmtId="0" fontId="0" fillId="0" borderId="0"/>
    <xf numFmtId="0" fontId="2" fillId="0" borderId="0"/>
  </cellStyleXfs>
  <cellXfs count="30">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11" fillId="0" borderId="0" xfId="0" applyFont="1" applyAlignment="1">
      <alignment vertical="top"/>
    </xf>
    <xf numFmtId="0" fontId="2" fillId="0" borderId="3" xfId="0" applyFont="1" applyBorder="1" applyAlignment="1">
      <alignment vertical="top"/>
    </xf>
    <xf numFmtId="0" fontId="2" fillId="0" borderId="3" xfId="0" applyFont="1" applyBorder="1" applyAlignment="1">
      <alignment vertical="top" wrapText="1"/>
    </xf>
    <xf numFmtId="0" fontId="2" fillId="10" borderId="3" xfId="0" applyFont="1" applyFill="1" applyBorder="1" applyAlignment="1">
      <alignment vertical="top" wrapText="1"/>
    </xf>
    <xf numFmtId="0" fontId="2" fillId="11" borderId="3" xfId="0" applyFont="1" applyFill="1" applyBorder="1" applyAlignment="1">
      <alignment vertical="top" wrapText="1"/>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112"/>
  <sheetViews>
    <sheetView showGridLines="0" topLeftCell="D1" zoomScaleNormal="100" workbookViewId="0">
      <selection activeCell="F15" sqref="F15"/>
    </sheetView>
  </sheetViews>
  <sheetFormatPr defaultColWidth="9.140625" defaultRowHeight="14.25" outlineLevelRow="1" x14ac:dyDescent="0.25"/>
  <cols>
    <col min="1" max="1" width="2.85546875" style="13" customWidth="1"/>
    <col min="2" max="2" width="7.85546875" style="12" customWidth="1"/>
    <col min="3" max="3" width="9.140625" style="12"/>
    <col min="4" max="4" width="23.42578125" style="13" customWidth="1"/>
    <col min="5" max="5" width="9.140625" style="12"/>
    <col min="6" max="6" width="40.85546875" style="13" customWidth="1"/>
    <col min="7" max="7" width="39" style="13" customWidth="1"/>
    <col min="8" max="8" width="32.42578125" style="13" customWidth="1"/>
    <col min="9" max="9" width="33.42578125" style="13" customWidth="1"/>
    <col min="10" max="10" width="32.5703125" style="13" customWidth="1"/>
    <col min="11" max="11" width="9.140625" style="13"/>
    <col min="12" max="12" width="12.5703125" style="13" customWidth="1"/>
    <col min="13" max="16384" width="9.140625" style="13"/>
  </cols>
  <sheetData>
    <row r="2" spans="2:10" ht="26.65" customHeight="1" x14ac:dyDescent="0.25">
      <c r="B2" s="14" t="s">
        <v>0</v>
      </c>
    </row>
    <row r="3" spans="2:10" ht="10.5" customHeight="1" x14ac:dyDescent="0.25">
      <c r="B3" s="14"/>
    </row>
    <row r="4" spans="2:10" ht="31.9" customHeight="1" outlineLevel="1" x14ac:dyDescent="0.25">
      <c r="B4" s="14"/>
      <c r="D4" s="18" t="s">
        <v>1</v>
      </c>
      <c r="E4" s="19" t="s">
        <v>2</v>
      </c>
      <c r="F4" s="20">
        <v>1</v>
      </c>
      <c r="G4" s="20">
        <v>2</v>
      </c>
      <c r="H4" s="20">
        <v>3</v>
      </c>
    </row>
    <row r="5" spans="2:10" ht="20.25" customHeight="1" outlineLevel="1" x14ac:dyDescent="0.25">
      <c r="B5" s="14"/>
      <c r="D5" s="19" t="s">
        <v>2</v>
      </c>
      <c r="E5" s="16">
        <f>SUM(E6:E9)</f>
        <v>23</v>
      </c>
      <c r="F5" s="17">
        <f>SUM(F6:F9)</f>
        <v>8</v>
      </c>
      <c r="G5" s="17">
        <f t="shared" ref="G5:H5" si="0">SUM(G6:G9)</f>
        <v>8</v>
      </c>
      <c r="H5" s="17">
        <f t="shared" si="0"/>
        <v>7</v>
      </c>
    </row>
    <row r="6" spans="2:10" ht="20.25" customHeight="1" outlineLevel="1" x14ac:dyDescent="0.25">
      <c r="B6" s="14"/>
      <c r="D6" s="20">
        <v>1</v>
      </c>
      <c r="E6" s="17">
        <f>SUM(F6:H6)</f>
        <v>6</v>
      </c>
      <c r="F6" s="21">
        <f t="shared" ref="F6:H9" si="1">COUNTIFS($E$13:$E$199,$D6,$C$13:$C$199,F$4)</f>
        <v>2</v>
      </c>
      <c r="G6" s="21">
        <f t="shared" si="1"/>
        <v>2</v>
      </c>
      <c r="H6" s="21">
        <f t="shared" si="1"/>
        <v>2</v>
      </c>
    </row>
    <row r="7" spans="2:10" ht="20.25" customHeight="1" outlineLevel="1" x14ac:dyDescent="0.25">
      <c r="B7" s="14"/>
      <c r="D7" s="20">
        <v>2</v>
      </c>
      <c r="E7" s="17">
        <f t="shared" ref="E7:E9" si="2">SUM(F7:H7)</f>
        <v>6</v>
      </c>
      <c r="F7" s="21">
        <f t="shared" si="1"/>
        <v>2</v>
      </c>
      <c r="G7" s="21">
        <f t="shared" si="1"/>
        <v>2</v>
      </c>
      <c r="H7" s="21">
        <f t="shared" si="1"/>
        <v>2</v>
      </c>
    </row>
    <row r="8" spans="2:10" ht="20.25" customHeight="1" outlineLevel="1" x14ac:dyDescent="0.25">
      <c r="B8" s="14"/>
      <c r="D8" s="20">
        <v>3</v>
      </c>
      <c r="E8" s="17">
        <f t="shared" si="2"/>
        <v>6</v>
      </c>
      <c r="F8" s="21">
        <f t="shared" si="1"/>
        <v>2</v>
      </c>
      <c r="G8" s="21">
        <f t="shared" si="1"/>
        <v>2</v>
      </c>
      <c r="H8" s="21">
        <f t="shared" si="1"/>
        <v>2</v>
      </c>
    </row>
    <row r="9" spans="2:10" ht="20.25" customHeight="1" outlineLevel="1" x14ac:dyDescent="0.25">
      <c r="B9" s="14"/>
      <c r="D9" s="20">
        <v>4</v>
      </c>
      <c r="E9" s="17">
        <f t="shared" si="2"/>
        <v>5</v>
      </c>
      <c r="F9" s="21">
        <f t="shared" si="1"/>
        <v>2</v>
      </c>
      <c r="G9" s="21">
        <f t="shared" si="1"/>
        <v>2</v>
      </c>
      <c r="H9" s="21">
        <f t="shared" si="1"/>
        <v>1</v>
      </c>
    </row>
    <row r="10" spans="2:10" ht="7.15" customHeight="1" x14ac:dyDescent="0.25"/>
    <row r="11" spans="2:10" ht="19.5" customHeight="1" x14ac:dyDescent="0.25">
      <c r="B11" s="29" t="s">
        <v>3</v>
      </c>
      <c r="C11" s="29" t="s">
        <v>4</v>
      </c>
      <c r="D11" s="29" t="s">
        <v>5</v>
      </c>
      <c r="E11" s="29" t="s">
        <v>6</v>
      </c>
      <c r="F11" s="27" t="s">
        <v>7</v>
      </c>
      <c r="G11" s="28" t="s">
        <v>8</v>
      </c>
      <c r="H11" s="28"/>
      <c r="I11" s="28"/>
      <c r="J11" s="28"/>
    </row>
    <row r="12" spans="2:10" ht="19.5" customHeight="1" x14ac:dyDescent="0.25">
      <c r="B12" s="29"/>
      <c r="C12" s="29"/>
      <c r="D12" s="29"/>
      <c r="E12" s="29"/>
      <c r="F12" s="27"/>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52.15" customHeight="1" x14ac:dyDescent="0.25">
      <c r="B14" s="1">
        <f>ROW()-ROW($B$13)</f>
        <v>1</v>
      </c>
      <c r="C14" s="2">
        <v>1</v>
      </c>
      <c r="D14" s="3" t="s">
        <v>13</v>
      </c>
      <c r="E14" s="2">
        <v>1</v>
      </c>
      <c r="F14" s="5" t="s">
        <v>14</v>
      </c>
      <c r="G14" s="9" t="s">
        <v>15</v>
      </c>
      <c r="H14" s="7" t="s">
        <v>16</v>
      </c>
      <c r="I14" s="7" t="s">
        <v>17</v>
      </c>
      <c r="J14" s="7" t="s">
        <v>18</v>
      </c>
    </row>
    <row r="15" spans="2:10" ht="46.15" customHeight="1" x14ac:dyDescent="0.25">
      <c r="B15" s="1">
        <f t="shared" ref="B15:B34" si="4">ROW()-ROW($B$13)</f>
        <v>2</v>
      </c>
      <c r="C15" s="2">
        <v>1</v>
      </c>
      <c r="D15" s="3" t="s">
        <v>13</v>
      </c>
      <c r="E15" s="2">
        <v>1</v>
      </c>
      <c r="F15" s="5" t="s">
        <v>19</v>
      </c>
      <c r="G15" s="10" t="s">
        <v>20</v>
      </c>
      <c r="H15" s="3" t="s">
        <v>21</v>
      </c>
      <c r="I15" s="3" t="s">
        <v>22</v>
      </c>
      <c r="J15" s="3" t="s">
        <v>23</v>
      </c>
    </row>
    <row r="16" spans="2:10" ht="50.65" customHeight="1" x14ac:dyDescent="0.25">
      <c r="B16" s="1">
        <f t="shared" si="4"/>
        <v>3</v>
      </c>
      <c r="C16" s="2">
        <v>2</v>
      </c>
      <c r="D16" s="3" t="s">
        <v>24</v>
      </c>
      <c r="E16" s="2">
        <v>1</v>
      </c>
      <c r="F16" s="5" t="s">
        <v>25</v>
      </c>
      <c r="G16" s="10" t="s">
        <v>26</v>
      </c>
      <c r="H16" s="3" t="s">
        <v>27</v>
      </c>
      <c r="I16" s="3" t="s">
        <v>28</v>
      </c>
      <c r="J16" s="3" t="s">
        <v>29</v>
      </c>
    </row>
    <row r="17" spans="2:10" ht="51" x14ac:dyDescent="0.25">
      <c r="B17" s="1">
        <f t="shared" si="4"/>
        <v>4</v>
      </c>
      <c r="C17" s="2">
        <v>2</v>
      </c>
      <c r="D17" s="3" t="s">
        <v>24</v>
      </c>
      <c r="E17" s="2">
        <v>1</v>
      </c>
      <c r="F17" s="5" t="s">
        <v>30</v>
      </c>
      <c r="G17" s="10" t="s">
        <v>31</v>
      </c>
      <c r="H17" s="3" t="s">
        <v>32</v>
      </c>
      <c r="I17" s="3" t="s">
        <v>33</v>
      </c>
      <c r="J17" s="3" t="s">
        <v>34</v>
      </c>
    </row>
    <row r="18" spans="2:10" ht="51" x14ac:dyDescent="0.25">
      <c r="B18" s="1">
        <f t="shared" si="4"/>
        <v>5</v>
      </c>
      <c r="C18" s="2">
        <v>3</v>
      </c>
      <c r="D18" s="3" t="s">
        <v>35</v>
      </c>
      <c r="E18" s="2">
        <v>1</v>
      </c>
      <c r="F18" s="5" t="s">
        <v>36</v>
      </c>
      <c r="G18" s="10" t="s">
        <v>15</v>
      </c>
      <c r="H18" s="3" t="s">
        <v>37</v>
      </c>
      <c r="I18" s="3" t="s">
        <v>38</v>
      </c>
      <c r="J18" s="3" t="s">
        <v>39</v>
      </c>
    </row>
    <row r="19" spans="2:10" ht="51" x14ac:dyDescent="0.25">
      <c r="B19" s="1">
        <f t="shared" si="4"/>
        <v>6</v>
      </c>
      <c r="C19" s="2">
        <v>3</v>
      </c>
      <c r="D19" s="3" t="s">
        <v>35</v>
      </c>
      <c r="E19" s="2">
        <v>1</v>
      </c>
      <c r="F19" s="5" t="s">
        <v>40</v>
      </c>
      <c r="G19" s="10" t="s">
        <v>41</v>
      </c>
      <c r="H19" s="3" t="s">
        <v>42</v>
      </c>
      <c r="I19" s="3" t="s">
        <v>43</v>
      </c>
      <c r="J19" s="3" t="s">
        <v>44</v>
      </c>
    </row>
    <row r="20" spans="2:10" ht="38.25" x14ac:dyDescent="0.25">
      <c r="B20" s="1">
        <f t="shared" si="4"/>
        <v>7</v>
      </c>
      <c r="C20" s="2">
        <v>1</v>
      </c>
      <c r="D20" s="3" t="s">
        <v>13</v>
      </c>
      <c r="E20" s="2">
        <v>2</v>
      </c>
      <c r="F20" s="5" t="s">
        <v>45</v>
      </c>
      <c r="G20" s="10" t="s">
        <v>46</v>
      </c>
      <c r="H20" s="3" t="s">
        <v>47</v>
      </c>
      <c r="I20" s="3" t="s">
        <v>48</v>
      </c>
      <c r="J20" s="3" t="s">
        <v>49</v>
      </c>
    </row>
    <row r="21" spans="2:10" ht="38.25" x14ac:dyDescent="0.25">
      <c r="B21" s="1">
        <f t="shared" si="4"/>
        <v>8</v>
      </c>
      <c r="C21" s="2">
        <v>1</v>
      </c>
      <c r="D21" s="3" t="s">
        <v>13</v>
      </c>
      <c r="E21" s="2">
        <v>2</v>
      </c>
      <c r="F21" s="5" t="s">
        <v>50</v>
      </c>
      <c r="G21" s="10" t="s">
        <v>51</v>
      </c>
      <c r="H21" s="3" t="s">
        <v>52</v>
      </c>
      <c r="I21" s="3" t="s">
        <v>53</v>
      </c>
      <c r="J21" s="3" t="s">
        <v>54</v>
      </c>
    </row>
    <row r="22" spans="2:10" ht="51" x14ac:dyDescent="0.25">
      <c r="B22" s="1">
        <f t="shared" si="4"/>
        <v>9</v>
      </c>
      <c r="C22" s="2">
        <v>2</v>
      </c>
      <c r="D22" s="3" t="s">
        <v>24</v>
      </c>
      <c r="E22" s="2">
        <v>2</v>
      </c>
      <c r="F22" s="5" t="s">
        <v>55</v>
      </c>
      <c r="G22" s="10" t="s">
        <v>56</v>
      </c>
      <c r="H22" s="8" t="s">
        <v>57</v>
      </c>
      <c r="I22" s="8" t="s">
        <v>58</v>
      </c>
      <c r="J22" s="8" t="s">
        <v>59</v>
      </c>
    </row>
    <row r="23" spans="2:10" ht="49.15" customHeight="1" x14ac:dyDescent="0.25">
      <c r="B23" s="1">
        <f t="shared" si="4"/>
        <v>10</v>
      </c>
      <c r="C23" s="2">
        <v>2</v>
      </c>
      <c r="D23" s="3" t="s">
        <v>24</v>
      </c>
      <c r="E23" s="2">
        <v>2</v>
      </c>
      <c r="F23" s="5" t="s">
        <v>60</v>
      </c>
      <c r="G23" s="11" t="s">
        <v>61</v>
      </c>
      <c r="H23" s="8" t="s">
        <v>62</v>
      </c>
      <c r="I23" s="8" t="s">
        <v>63</v>
      </c>
      <c r="J23" s="8" t="s">
        <v>64</v>
      </c>
    </row>
    <row r="24" spans="2:10" ht="51" x14ac:dyDescent="0.25">
      <c r="B24" s="1">
        <f t="shared" si="4"/>
        <v>11</v>
      </c>
      <c r="C24" s="2">
        <v>3</v>
      </c>
      <c r="D24" s="3" t="s">
        <v>35</v>
      </c>
      <c r="E24" s="2">
        <v>2</v>
      </c>
      <c r="F24" s="5" t="s">
        <v>65</v>
      </c>
      <c r="G24" s="11" t="s">
        <v>66</v>
      </c>
      <c r="H24" s="8" t="s">
        <v>67</v>
      </c>
      <c r="I24" s="8" t="s">
        <v>68</v>
      </c>
      <c r="J24" s="8" t="s">
        <v>69</v>
      </c>
    </row>
    <row r="25" spans="2:10" ht="51" x14ac:dyDescent="0.25">
      <c r="B25" s="1">
        <f t="shared" si="4"/>
        <v>12</v>
      </c>
      <c r="C25" s="2">
        <v>3</v>
      </c>
      <c r="D25" s="3" t="s">
        <v>35</v>
      </c>
      <c r="E25" s="2">
        <v>2</v>
      </c>
      <c r="F25" s="5" t="s">
        <v>70</v>
      </c>
      <c r="G25" s="11" t="s">
        <v>71</v>
      </c>
      <c r="H25" s="8" t="s">
        <v>72</v>
      </c>
      <c r="I25" s="8" t="s">
        <v>73</v>
      </c>
      <c r="J25" s="8" t="s">
        <v>74</v>
      </c>
    </row>
    <row r="26" spans="2:10" ht="89.25" x14ac:dyDescent="0.25">
      <c r="B26" s="1">
        <f t="shared" si="4"/>
        <v>13</v>
      </c>
      <c r="C26" s="2">
        <v>1</v>
      </c>
      <c r="D26" s="3" t="s">
        <v>13</v>
      </c>
      <c r="E26" s="2">
        <v>3</v>
      </c>
      <c r="F26" s="5" t="s">
        <v>75</v>
      </c>
      <c r="G26" s="10" t="s">
        <v>76</v>
      </c>
      <c r="H26" s="3" t="s">
        <v>77</v>
      </c>
      <c r="I26" s="3" t="s">
        <v>78</v>
      </c>
      <c r="J26" s="3" t="s">
        <v>79</v>
      </c>
    </row>
    <row r="27" spans="2:10" ht="89.25" x14ac:dyDescent="0.25">
      <c r="B27" s="1">
        <f t="shared" si="4"/>
        <v>14</v>
      </c>
      <c r="C27" s="2">
        <v>1</v>
      </c>
      <c r="D27" s="3" t="s">
        <v>13</v>
      </c>
      <c r="E27" s="2">
        <v>3</v>
      </c>
      <c r="F27" s="5" t="s">
        <v>80</v>
      </c>
      <c r="G27" s="10" t="s">
        <v>81</v>
      </c>
      <c r="H27" s="3" t="s">
        <v>82</v>
      </c>
      <c r="I27" s="3" t="s">
        <v>83</v>
      </c>
      <c r="J27" s="3" t="s">
        <v>84</v>
      </c>
    </row>
    <row r="28" spans="2:10" ht="85.15" customHeight="1" x14ac:dyDescent="0.25">
      <c r="B28" s="1">
        <f t="shared" si="4"/>
        <v>15</v>
      </c>
      <c r="C28" s="2">
        <v>2</v>
      </c>
      <c r="D28" s="3" t="s">
        <v>24</v>
      </c>
      <c r="E28" s="2">
        <v>3</v>
      </c>
      <c r="F28" s="5" t="s">
        <v>85</v>
      </c>
      <c r="G28" s="10" t="s">
        <v>86</v>
      </c>
      <c r="H28" s="3" t="s">
        <v>87</v>
      </c>
      <c r="I28" s="3" t="s">
        <v>88</v>
      </c>
      <c r="J28" s="3" t="s">
        <v>89</v>
      </c>
    </row>
    <row r="29" spans="2:10" ht="63.75" x14ac:dyDescent="0.25">
      <c r="B29" s="1">
        <f t="shared" si="4"/>
        <v>16</v>
      </c>
      <c r="C29" s="2">
        <v>2</v>
      </c>
      <c r="D29" s="3" t="s">
        <v>24</v>
      </c>
      <c r="E29" s="2">
        <v>3</v>
      </c>
      <c r="F29" s="5" t="s">
        <v>90</v>
      </c>
      <c r="G29" s="10" t="s">
        <v>91</v>
      </c>
      <c r="H29" s="3" t="s">
        <v>92</v>
      </c>
      <c r="I29" s="3" t="s">
        <v>93</v>
      </c>
      <c r="J29" s="3" t="s">
        <v>94</v>
      </c>
    </row>
    <row r="30" spans="2:10" ht="89.25" x14ac:dyDescent="0.25">
      <c r="B30" s="1">
        <f t="shared" si="4"/>
        <v>17</v>
      </c>
      <c r="C30" s="2">
        <v>3</v>
      </c>
      <c r="D30" s="3" t="s">
        <v>35</v>
      </c>
      <c r="E30" s="2">
        <v>3</v>
      </c>
      <c r="F30" s="5" t="s">
        <v>95</v>
      </c>
      <c r="G30" s="10" t="s">
        <v>96</v>
      </c>
      <c r="H30" s="3" t="s">
        <v>97</v>
      </c>
      <c r="I30" s="3" t="s">
        <v>98</v>
      </c>
      <c r="J30" s="3" t="s">
        <v>99</v>
      </c>
    </row>
    <row r="31" spans="2:10" ht="63.75" x14ac:dyDescent="0.25">
      <c r="B31" s="1">
        <f t="shared" si="4"/>
        <v>18</v>
      </c>
      <c r="C31" s="2">
        <v>3</v>
      </c>
      <c r="D31" s="3" t="s">
        <v>35</v>
      </c>
      <c r="E31" s="2">
        <v>3</v>
      </c>
      <c r="F31" s="5" t="s">
        <v>100</v>
      </c>
      <c r="G31" s="10" t="s">
        <v>101</v>
      </c>
      <c r="H31" s="3" t="s">
        <v>102</v>
      </c>
      <c r="I31" s="3" t="s">
        <v>103</v>
      </c>
      <c r="J31" s="3" t="s">
        <v>104</v>
      </c>
    </row>
    <row r="32" spans="2:10" ht="114.75" x14ac:dyDescent="0.25">
      <c r="B32" s="1">
        <f t="shared" si="4"/>
        <v>19</v>
      </c>
      <c r="C32" s="2">
        <v>1</v>
      </c>
      <c r="D32" s="3" t="s">
        <v>13</v>
      </c>
      <c r="E32" s="2">
        <v>4</v>
      </c>
      <c r="F32" s="5" t="s">
        <v>105</v>
      </c>
      <c r="G32" s="9" t="s">
        <v>106</v>
      </c>
      <c r="H32" s="7" t="s">
        <v>107</v>
      </c>
      <c r="I32" s="7" t="s">
        <v>108</v>
      </c>
      <c r="J32" s="7" t="s">
        <v>109</v>
      </c>
    </row>
    <row r="33" spans="2:10" ht="102" customHeight="1" x14ac:dyDescent="0.25">
      <c r="B33" s="1">
        <f t="shared" si="4"/>
        <v>20</v>
      </c>
      <c r="C33" s="2">
        <v>1</v>
      </c>
      <c r="D33" s="3" t="s">
        <v>13</v>
      </c>
      <c r="E33" s="2">
        <v>4</v>
      </c>
      <c r="F33" s="5" t="s">
        <v>110</v>
      </c>
      <c r="G33" s="10" t="s">
        <v>111</v>
      </c>
      <c r="H33" s="3" t="s">
        <v>112</v>
      </c>
      <c r="I33" s="3" t="s">
        <v>113</v>
      </c>
      <c r="J33" s="3" t="s">
        <v>114</v>
      </c>
    </row>
    <row r="34" spans="2:10" ht="140.25" x14ac:dyDescent="0.25">
      <c r="B34" s="1">
        <f t="shared" si="4"/>
        <v>21</v>
      </c>
      <c r="C34" s="2">
        <v>2</v>
      </c>
      <c r="D34" s="3" t="s">
        <v>24</v>
      </c>
      <c r="E34" s="2">
        <v>4</v>
      </c>
      <c r="F34" s="5" t="s">
        <v>115</v>
      </c>
      <c r="G34" s="10" t="s">
        <v>116</v>
      </c>
      <c r="H34" s="3" t="s">
        <v>117</v>
      </c>
      <c r="I34" s="3" t="s">
        <v>118</v>
      </c>
      <c r="J34" s="3" t="s">
        <v>119</v>
      </c>
    </row>
    <row r="35" spans="2:10" ht="114.75" x14ac:dyDescent="0.25">
      <c r="B35" s="1">
        <f>ROW()-ROW($B$13)</f>
        <v>22</v>
      </c>
      <c r="C35" s="2">
        <v>2</v>
      </c>
      <c r="D35" s="3" t="s">
        <v>24</v>
      </c>
      <c r="E35" s="2">
        <v>4</v>
      </c>
      <c r="F35" s="5" t="s">
        <v>120</v>
      </c>
      <c r="G35" s="9" t="s">
        <v>121</v>
      </c>
      <c r="H35" s="7" t="s">
        <v>122</v>
      </c>
      <c r="I35" s="7" t="s">
        <v>123</v>
      </c>
      <c r="J35" s="7" t="s">
        <v>124</v>
      </c>
    </row>
    <row r="36" spans="2:10" ht="124.5" customHeight="1" x14ac:dyDescent="0.25">
      <c r="B36" s="1">
        <f t="shared" ref="B36:B54" si="5">ROW()-ROW($B$13)</f>
        <v>23</v>
      </c>
      <c r="C36" s="2">
        <v>3</v>
      </c>
      <c r="D36" s="3" t="s">
        <v>35</v>
      </c>
      <c r="E36" s="2">
        <v>4</v>
      </c>
      <c r="F36" s="5" t="s">
        <v>125</v>
      </c>
      <c r="G36" s="10" t="s">
        <v>126</v>
      </c>
      <c r="H36" s="3" t="s">
        <v>127</v>
      </c>
      <c r="I36" s="3" t="s">
        <v>128</v>
      </c>
      <c r="J36" s="3" t="s">
        <v>129</v>
      </c>
    </row>
    <row r="37" spans="2:10" x14ac:dyDescent="0.25">
      <c r="B37" s="1">
        <f t="shared" si="5"/>
        <v>24</v>
      </c>
      <c r="C37" s="2"/>
      <c r="D37" s="3"/>
      <c r="E37" s="2"/>
      <c r="F37" s="5"/>
      <c r="G37" s="10"/>
      <c r="H37" s="3"/>
      <c r="I37" s="3"/>
      <c r="J37" s="3"/>
    </row>
    <row r="38" spans="2:10" x14ac:dyDescent="0.25">
      <c r="B38" s="1">
        <f t="shared" si="5"/>
        <v>25</v>
      </c>
      <c r="C38" s="2"/>
      <c r="D38" s="3"/>
      <c r="E38" s="2"/>
      <c r="F38" s="5"/>
      <c r="G38" s="10"/>
      <c r="H38" s="3"/>
      <c r="I38" s="3"/>
      <c r="J38" s="3"/>
    </row>
    <row r="39" spans="2:10" x14ac:dyDescent="0.25">
      <c r="B39" s="1">
        <f t="shared" si="5"/>
        <v>26</v>
      </c>
      <c r="C39" s="2"/>
      <c r="D39" s="3"/>
      <c r="E39" s="2"/>
      <c r="F39" s="5"/>
      <c r="G39" s="10"/>
      <c r="H39" s="3"/>
      <c r="I39" s="3"/>
      <c r="J39" s="3"/>
    </row>
    <row r="40" spans="2:10" x14ac:dyDescent="0.25">
      <c r="B40" s="1">
        <f t="shared" si="5"/>
        <v>27</v>
      </c>
      <c r="C40" s="2"/>
      <c r="D40" s="3"/>
      <c r="E40" s="2"/>
      <c r="F40" s="5"/>
      <c r="G40" s="10"/>
      <c r="H40" s="3"/>
      <c r="I40" s="3"/>
      <c r="J40" s="3"/>
    </row>
    <row r="41" spans="2:10" x14ac:dyDescent="0.25">
      <c r="B41" s="1">
        <f t="shared" si="5"/>
        <v>28</v>
      </c>
      <c r="C41" s="2"/>
      <c r="D41" s="3"/>
      <c r="E41" s="2"/>
      <c r="F41" s="5"/>
      <c r="G41" s="10"/>
      <c r="H41" s="3"/>
      <c r="I41" s="3"/>
      <c r="J41" s="3"/>
    </row>
    <row r="42" spans="2:10" x14ac:dyDescent="0.25">
      <c r="B42" s="1">
        <f t="shared" si="5"/>
        <v>29</v>
      </c>
      <c r="C42" s="2"/>
      <c r="D42" s="3"/>
      <c r="E42" s="2"/>
      <c r="F42" s="5"/>
      <c r="G42" s="11"/>
      <c r="H42" s="8"/>
      <c r="I42" s="8"/>
      <c r="J42" s="8"/>
    </row>
    <row r="43" spans="2:10" x14ac:dyDescent="0.25">
      <c r="B43" s="1">
        <f t="shared" si="5"/>
        <v>30</v>
      </c>
      <c r="C43" s="2"/>
      <c r="D43" s="3"/>
      <c r="E43" s="2"/>
      <c r="F43" s="5"/>
      <c r="G43" s="11"/>
      <c r="H43" s="8"/>
      <c r="I43" s="8"/>
      <c r="J43" s="8"/>
    </row>
    <row r="44" spans="2:10" x14ac:dyDescent="0.25">
      <c r="B44" s="1">
        <f t="shared" si="5"/>
        <v>31</v>
      </c>
      <c r="C44" s="2"/>
      <c r="D44" s="3"/>
      <c r="E44" s="2"/>
      <c r="F44" s="5"/>
      <c r="G44" s="11"/>
      <c r="H44" s="8"/>
      <c r="I44" s="8"/>
      <c r="J44" s="8"/>
    </row>
    <row r="45" spans="2:10" x14ac:dyDescent="0.25">
      <c r="B45" s="1">
        <f t="shared" si="5"/>
        <v>32</v>
      </c>
      <c r="C45" s="2"/>
      <c r="D45" s="3"/>
      <c r="E45" s="2"/>
      <c r="F45" s="5"/>
      <c r="G45" s="11"/>
      <c r="H45" s="8"/>
      <c r="I45" s="8"/>
      <c r="J45" s="8"/>
    </row>
    <row r="46" spans="2:10" x14ac:dyDescent="0.25">
      <c r="B46" s="1">
        <f t="shared" si="5"/>
        <v>33</v>
      </c>
      <c r="C46" s="2"/>
      <c r="D46" s="3"/>
      <c r="E46" s="2"/>
      <c r="F46" s="5"/>
      <c r="G46" s="10"/>
      <c r="H46" s="3"/>
      <c r="I46" s="3"/>
      <c r="J46" s="3"/>
    </row>
    <row r="47" spans="2:10" x14ac:dyDescent="0.25">
      <c r="B47" s="1">
        <f t="shared" si="5"/>
        <v>34</v>
      </c>
      <c r="C47" s="2"/>
      <c r="D47" s="3"/>
      <c r="E47" s="2"/>
      <c r="F47" s="5"/>
      <c r="G47" s="10"/>
      <c r="H47" s="3"/>
      <c r="I47" s="3"/>
      <c r="J47" s="3"/>
    </row>
    <row r="48" spans="2:10" x14ac:dyDescent="0.25">
      <c r="B48" s="1">
        <f t="shared" si="5"/>
        <v>35</v>
      </c>
      <c r="C48" s="2"/>
      <c r="D48" s="3"/>
      <c r="E48" s="2"/>
      <c r="F48" s="5"/>
      <c r="G48" s="10"/>
      <c r="H48" s="3"/>
      <c r="I48" s="3"/>
      <c r="J48" s="3"/>
    </row>
    <row r="49" spans="2:10" x14ac:dyDescent="0.25">
      <c r="B49" s="1">
        <f t="shared" si="5"/>
        <v>36</v>
      </c>
      <c r="C49" s="2"/>
      <c r="D49" s="3"/>
      <c r="E49" s="2"/>
      <c r="F49" s="5"/>
      <c r="G49" s="10"/>
      <c r="H49" s="3"/>
      <c r="I49" s="3"/>
      <c r="J49" s="3"/>
    </row>
    <row r="50" spans="2:10" x14ac:dyDescent="0.25">
      <c r="B50" s="1">
        <f t="shared" si="5"/>
        <v>37</v>
      </c>
      <c r="C50" s="2"/>
      <c r="D50" s="3"/>
      <c r="E50" s="2"/>
      <c r="F50" s="5"/>
      <c r="G50" s="10"/>
      <c r="H50" s="3"/>
      <c r="I50" s="3"/>
      <c r="J50" s="3"/>
    </row>
    <row r="51" spans="2:10" x14ac:dyDescent="0.25">
      <c r="B51" s="1">
        <f t="shared" si="5"/>
        <v>38</v>
      </c>
      <c r="C51" s="2"/>
      <c r="D51" s="3"/>
      <c r="E51" s="2"/>
      <c r="F51" s="5"/>
      <c r="G51" s="10"/>
      <c r="H51" s="3"/>
      <c r="I51" s="3"/>
      <c r="J51" s="3"/>
    </row>
    <row r="52" spans="2:10" x14ac:dyDescent="0.25">
      <c r="B52" s="1">
        <f t="shared" si="5"/>
        <v>39</v>
      </c>
      <c r="C52" s="2"/>
      <c r="D52" s="3"/>
      <c r="E52" s="2"/>
      <c r="F52" s="5"/>
      <c r="G52" s="9"/>
      <c r="H52" s="7"/>
      <c r="I52" s="7"/>
      <c r="J52" s="7"/>
    </row>
    <row r="53" spans="2:10" x14ac:dyDescent="0.25">
      <c r="B53" s="1">
        <f t="shared" si="5"/>
        <v>40</v>
      </c>
      <c r="C53" s="2"/>
      <c r="D53" s="3"/>
      <c r="E53" s="2"/>
      <c r="F53" s="5"/>
      <c r="G53" s="10"/>
      <c r="H53" s="3"/>
      <c r="I53" s="3"/>
      <c r="J53" s="3"/>
    </row>
    <row r="54" spans="2:10" x14ac:dyDescent="0.25">
      <c r="B54" s="1">
        <f t="shared" si="5"/>
        <v>41</v>
      </c>
      <c r="C54" s="2"/>
      <c r="D54" s="3"/>
      <c r="E54" s="2"/>
      <c r="F54" s="5"/>
      <c r="G54" s="10"/>
      <c r="H54" s="3"/>
      <c r="I54" s="3"/>
      <c r="J54" s="3"/>
    </row>
    <row r="55" spans="2:10" x14ac:dyDescent="0.25">
      <c r="B55" s="1">
        <f>ROW()-ROW($B$13)</f>
        <v>42</v>
      </c>
      <c r="C55" s="2"/>
      <c r="D55" s="3"/>
      <c r="E55" s="2"/>
      <c r="F55" s="5"/>
      <c r="G55" s="9"/>
      <c r="H55" s="7"/>
      <c r="I55" s="7"/>
      <c r="J55" s="7"/>
    </row>
    <row r="56" spans="2:10" x14ac:dyDescent="0.25">
      <c r="B56" s="1">
        <f t="shared" ref="B56:B75" si="6">ROW()-ROW($B$13)</f>
        <v>43</v>
      </c>
      <c r="C56" s="2"/>
      <c r="D56" s="3"/>
      <c r="E56" s="2"/>
      <c r="F56" s="5"/>
      <c r="G56" s="10"/>
      <c r="H56" s="3"/>
      <c r="I56" s="3"/>
      <c r="J56" s="3"/>
    </row>
    <row r="57" spans="2:10" x14ac:dyDescent="0.25">
      <c r="B57" s="1">
        <f t="shared" si="6"/>
        <v>44</v>
      </c>
      <c r="C57" s="2"/>
      <c r="D57" s="3"/>
      <c r="E57" s="2"/>
      <c r="F57" s="5"/>
      <c r="G57" s="10"/>
      <c r="H57" s="3"/>
      <c r="I57" s="3"/>
      <c r="J57" s="3"/>
    </row>
    <row r="58" spans="2:10" x14ac:dyDescent="0.25">
      <c r="B58" s="1">
        <f t="shared" si="6"/>
        <v>45</v>
      </c>
      <c r="C58" s="2"/>
      <c r="D58" s="3"/>
      <c r="E58" s="2"/>
      <c r="F58" s="5"/>
      <c r="G58" s="10"/>
      <c r="H58" s="3"/>
      <c r="I58" s="3"/>
      <c r="J58" s="3"/>
    </row>
    <row r="59" spans="2:10" x14ac:dyDescent="0.25">
      <c r="B59" s="1">
        <f t="shared" si="6"/>
        <v>46</v>
      </c>
      <c r="C59" s="2"/>
      <c r="D59" s="3"/>
      <c r="E59" s="2"/>
      <c r="F59" s="5"/>
      <c r="G59" s="10"/>
      <c r="H59" s="3"/>
      <c r="I59" s="3"/>
      <c r="J59" s="3"/>
    </row>
    <row r="60" spans="2:10" x14ac:dyDescent="0.25">
      <c r="B60" s="1">
        <f t="shared" si="6"/>
        <v>47</v>
      </c>
      <c r="C60" s="2"/>
      <c r="D60" s="3"/>
      <c r="E60" s="2"/>
      <c r="F60" s="5"/>
      <c r="G60" s="10"/>
      <c r="H60" s="3"/>
      <c r="I60" s="3"/>
      <c r="J60" s="3"/>
    </row>
    <row r="61" spans="2:10" x14ac:dyDescent="0.25">
      <c r="B61" s="1">
        <f t="shared" si="6"/>
        <v>48</v>
      </c>
      <c r="C61" s="2"/>
      <c r="D61" s="3"/>
      <c r="E61" s="2"/>
      <c r="F61" s="5"/>
      <c r="G61" s="10"/>
      <c r="H61" s="3"/>
      <c r="I61" s="3"/>
      <c r="J61" s="3"/>
    </row>
    <row r="62" spans="2:10" x14ac:dyDescent="0.25">
      <c r="B62" s="1">
        <f t="shared" si="6"/>
        <v>49</v>
      </c>
      <c r="C62" s="2"/>
      <c r="D62" s="3"/>
      <c r="E62" s="2"/>
      <c r="F62" s="5"/>
      <c r="G62" s="10"/>
      <c r="H62" s="3"/>
      <c r="I62" s="3"/>
      <c r="J62" s="3"/>
    </row>
    <row r="63" spans="2:10" x14ac:dyDescent="0.25">
      <c r="B63" s="1">
        <f t="shared" si="6"/>
        <v>50</v>
      </c>
      <c r="C63" s="2"/>
      <c r="D63" s="3"/>
      <c r="E63" s="2"/>
      <c r="F63" s="5"/>
      <c r="G63" s="11"/>
      <c r="H63" s="8"/>
      <c r="I63" s="8"/>
      <c r="J63" s="8"/>
    </row>
    <row r="64" spans="2:10" x14ac:dyDescent="0.25">
      <c r="B64" s="1">
        <f t="shared" si="6"/>
        <v>51</v>
      </c>
      <c r="C64" s="2"/>
      <c r="D64" s="3"/>
      <c r="E64" s="2"/>
      <c r="F64" s="5"/>
      <c r="G64" s="11"/>
      <c r="H64" s="8"/>
      <c r="I64" s="8"/>
      <c r="J64" s="8"/>
    </row>
    <row r="65" spans="2:10" x14ac:dyDescent="0.25">
      <c r="B65" s="1">
        <f t="shared" si="6"/>
        <v>52</v>
      </c>
      <c r="C65" s="2"/>
      <c r="D65" s="3"/>
      <c r="E65" s="2"/>
      <c r="F65" s="5"/>
      <c r="G65" s="11"/>
      <c r="H65" s="8"/>
      <c r="I65" s="8"/>
      <c r="J65" s="8"/>
    </row>
    <row r="66" spans="2:10" x14ac:dyDescent="0.25">
      <c r="B66" s="1">
        <f t="shared" si="6"/>
        <v>53</v>
      </c>
      <c r="C66" s="2"/>
      <c r="D66" s="3"/>
      <c r="E66" s="2"/>
      <c r="F66" s="5"/>
      <c r="G66" s="11"/>
      <c r="H66" s="8"/>
      <c r="I66" s="8"/>
      <c r="J66" s="8"/>
    </row>
    <row r="67" spans="2:10" x14ac:dyDescent="0.25">
      <c r="B67" s="1">
        <f t="shared" si="6"/>
        <v>54</v>
      </c>
      <c r="C67" s="2"/>
      <c r="D67" s="3"/>
      <c r="E67" s="2"/>
      <c r="F67" s="5"/>
      <c r="G67" s="10"/>
      <c r="H67" s="3"/>
      <c r="I67" s="3"/>
      <c r="J67" s="3"/>
    </row>
    <row r="68" spans="2:10" x14ac:dyDescent="0.25">
      <c r="B68" s="1">
        <f t="shared" si="6"/>
        <v>55</v>
      </c>
      <c r="C68" s="2"/>
      <c r="D68" s="3"/>
      <c r="E68" s="2"/>
      <c r="F68" s="5"/>
      <c r="G68" s="10"/>
      <c r="H68" s="3"/>
      <c r="I68" s="3"/>
      <c r="J68" s="3"/>
    </row>
    <row r="69" spans="2:10" x14ac:dyDescent="0.25">
      <c r="B69" s="1">
        <f t="shared" si="6"/>
        <v>56</v>
      </c>
      <c r="C69" s="2"/>
      <c r="D69" s="3"/>
      <c r="E69" s="2"/>
      <c r="F69" s="5"/>
      <c r="G69" s="10"/>
      <c r="H69" s="3"/>
      <c r="I69" s="3"/>
      <c r="J69" s="3"/>
    </row>
    <row r="70" spans="2:10" x14ac:dyDescent="0.25">
      <c r="B70" s="1">
        <f t="shared" si="6"/>
        <v>57</v>
      </c>
      <c r="C70" s="2"/>
      <c r="D70" s="3"/>
      <c r="E70" s="2"/>
      <c r="F70" s="5"/>
      <c r="G70" s="10"/>
      <c r="H70" s="3"/>
      <c r="I70" s="3"/>
      <c r="J70" s="3"/>
    </row>
    <row r="71" spans="2:10" x14ac:dyDescent="0.25">
      <c r="B71" s="1">
        <f t="shared" si="6"/>
        <v>58</v>
      </c>
      <c r="C71" s="2"/>
      <c r="D71" s="3"/>
      <c r="E71" s="2"/>
      <c r="F71" s="5"/>
      <c r="G71" s="10"/>
      <c r="H71" s="3"/>
      <c r="I71" s="3"/>
      <c r="J71" s="3"/>
    </row>
    <row r="72" spans="2:10" x14ac:dyDescent="0.25">
      <c r="B72" s="1">
        <f t="shared" si="6"/>
        <v>59</v>
      </c>
      <c r="C72" s="2"/>
      <c r="D72" s="3"/>
      <c r="E72" s="2"/>
      <c r="F72" s="5"/>
      <c r="G72" s="10"/>
      <c r="H72" s="3"/>
      <c r="I72" s="3"/>
      <c r="J72" s="3"/>
    </row>
    <row r="73" spans="2:10" x14ac:dyDescent="0.25">
      <c r="B73" s="1">
        <f t="shared" si="6"/>
        <v>60</v>
      </c>
      <c r="C73" s="2"/>
      <c r="D73" s="3"/>
      <c r="E73" s="2"/>
      <c r="F73" s="5"/>
      <c r="G73" s="9"/>
      <c r="H73" s="7"/>
      <c r="I73" s="7"/>
      <c r="J73" s="7"/>
    </row>
    <row r="74" spans="2:10" x14ac:dyDescent="0.25">
      <c r="B74" s="1">
        <f t="shared" si="6"/>
        <v>61</v>
      </c>
      <c r="C74" s="2"/>
      <c r="D74" s="3"/>
      <c r="E74" s="2"/>
      <c r="F74" s="5"/>
      <c r="G74" s="10"/>
      <c r="H74" s="3"/>
      <c r="I74" s="3"/>
      <c r="J74" s="3"/>
    </row>
    <row r="75" spans="2:10" x14ac:dyDescent="0.25">
      <c r="B75" s="1">
        <f t="shared" si="6"/>
        <v>62</v>
      </c>
      <c r="C75" s="2"/>
      <c r="D75" s="3"/>
      <c r="E75" s="2"/>
      <c r="F75" s="5"/>
      <c r="G75" s="10"/>
      <c r="H75" s="3"/>
      <c r="I75" s="3"/>
      <c r="J75" s="3"/>
    </row>
    <row r="76" spans="2:10" x14ac:dyDescent="0.25">
      <c r="B76" s="1">
        <f>ROW()-ROW($B$13)</f>
        <v>63</v>
      </c>
      <c r="C76" s="2"/>
      <c r="D76" s="3"/>
      <c r="E76" s="2"/>
      <c r="F76" s="5"/>
      <c r="G76" s="9"/>
      <c r="H76" s="7"/>
      <c r="I76" s="7"/>
      <c r="J76" s="7"/>
    </row>
    <row r="77" spans="2:10" x14ac:dyDescent="0.25">
      <c r="B77" s="1">
        <f t="shared" ref="B77:B112" si="7">ROW()-ROW($B$13)</f>
        <v>64</v>
      </c>
      <c r="C77" s="2"/>
      <c r="D77" s="3"/>
      <c r="E77" s="2"/>
      <c r="F77" s="5"/>
      <c r="G77" s="10"/>
      <c r="H77" s="3"/>
      <c r="I77" s="3"/>
      <c r="J77" s="3"/>
    </row>
    <row r="78" spans="2:10" x14ac:dyDescent="0.25">
      <c r="B78" s="1">
        <f t="shared" si="7"/>
        <v>65</v>
      </c>
      <c r="C78" s="2"/>
      <c r="D78" s="3"/>
      <c r="E78" s="2"/>
      <c r="F78" s="5"/>
      <c r="G78" s="10"/>
      <c r="H78" s="3"/>
      <c r="I78" s="3"/>
      <c r="J78" s="3"/>
    </row>
    <row r="79" spans="2:10" x14ac:dyDescent="0.25">
      <c r="B79" s="1">
        <f t="shared" si="7"/>
        <v>66</v>
      </c>
      <c r="C79" s="2"/>
      <c r="D79" s="3"/>
      <c r="E79" s="2"/>
      <c r="F79" s="5"/>
      <c r="G79" s="10"/>
      <c r="H79" s="3"/>
      <c r="I79" s="3"/>
      <c r="J79" s="3"/>
    </row>
    <row r="80" spans="2:10" x14ac:dyDescent="0.25">
      <c r="B80" s="1">
        <f t="shared" si="7"/>
        <v>67</v>
      </c>
      <c r="C80" s="2"/>
      <c r="D80" s="3"/>
      <c r="E80" s="2"/>
      <c r="F80" s="5"/>
      <c r="G80" s="10"/>
      <c r="H80" s="3"/>
      <c r="I80" s="3"/>
      <c r="J80" s="3"/>
    </row>
    <row r="81" spans="2:10" x14ac:dyDescent="0.25">
      <c r="B81" s="1">
        <f t="shared" si="7"/>
        <v>68</v>
      </c>
      <c r="C81" s="2"/>
      <c r="D81" s="3"/>
      <c r="E81" s="2"/>
      <c r="F81" s="5"/>
      <c r="G81" s="10"/>
      <c r="H81" s="3"/>
      <c r="I81" s="3"/>
      <c r="J81" s="3"/>
    </row>
    <row r="82" spans="2:10" x14ac:dyDescent="0.25">
      <c r="B82" s="1">
        <f t="shared" si="7"/>
        <v>69</v>
      </c>
      <c r="C82" s="2"/>
      <c r="D82" s="3"/>
      <c r="E82" s="2"/>
      <c r="F82" s="5"/>
      <c r="G82" s="10"/>
      <c r="H82" s="3"/>
      <c r="I82" s="3"/>
      <c r="J82" s="3"/>
    </row>
    <row r="83" spans="2:10" x14ac:dyDescent="0.25">
      <c r="B83" s="1">
        <f t="shared" si="7"/>
        <v>70</v>
      </c>
      <c r="C83" s="2"/>
      <c r="D83" s="3"/>
      <c r="E83" s="2"/>
      <c r="F83" s="5"/>
      <c r="G83" s="10"/>
      <c r="H83" s="3"/>
      <c r="I83" s="3"/>
      <c r="J83" s="3"/>
    </row>
    <row r="84" spans="2:10" x14ac:dyDescent="0.25">
      <c r="B84" s="1">
        <f t="shared" si="7"/>
        <v>71</v>
      </c>
      <c r="C84" s="2"/>
      <c r="D84" s="3"/>
      <c r="E84" s="2"/>
      <c r="F84" s="5"/>
      <c r="G84" s="11"/>
      <c r="H84" s="8"/>
      <c r="I84" s="8"/>
      <c r="J84" s="8"/>
    </row>
    <row r="85" spans="2:10" x14ac:dyDescent="0.25">
      <c r="B85" s="1">
        <f t="shared" si="7"/>
        <v>72</v>
      </c>
      <c r="C85" s="2"/>
      <c r="D85" s="3"/>
      <c r="E85" s="2"/>
      <c r="F85" s="5"/>
      <c r="G85" s="11"/>
      <c r="H85" s="8"/>
      <c r="I85" s="8"/>
      <c r="J85" s="8"/>
    </row>
    <row r="86" spans="2:10" x14ac:dyDescent="0.25">
      <c r="B86" s="1">
        <f t="shared" si="7"/>
        <v>73</v>
      </c>
      <c r="C86" s="2"/>
      <c r="D86" s="3"/>
      <c r="E86" s="2"/>
      <c r="F86" s="5"/>
      <c r="G86" s="11"/>
      <c r="H86" s="8"/>
      <c r="I86" s="8"/>
      <c r="J86" s="8"/>
    </row>
    <row r="87" spans="2:10" x14ac:dyDescent="0.25">
      <c r="B87" s="1">
        <f t="shared" si="7"/>
        <v>74</v>
      </c>
      <c r="C87" s="2"/>
      <c r="D87" s="3"/>
      <c r="E87" s="2"/>
      <c r="F87" s="5"/>
      <c r="G87" s="11"/>
      <c r="H87" s="8"/>
      <c r="I87" s="8"/>
      <c r="J87" s="8"/>
    </row>
    <row r="88" spans="2:10" x14ac:dyDescent="0.25">
      <c r="B88" s="1">
        <f t="shared" si="7"/>
        <v>75</v>
      </c>
      <c r="C88" s="2"/>
      <c r="D88" s="3"/>
      <c r="E88" s="2"/>
      <c r="F88" s="5"/>
      <c r="G88" s="10"/>
      <c r="H88" s="3"/>
      <c r="I88" s="3"/>
      <c r="J88" s="3"/>
    </row>
    <row r="89" spans="2:10" x14ac:dyDescent="0.25">
      <c r="B89" s="1">
        <f t="shared" si="7"/>
        <v>76</v>
      </c>
      <c r="C89" s="2"/>
      <c r="D89" s="3"/>
      <c r="E89" s="2"/>
      <c r="F89" s="5"/>
      <c r="G89" s="10"/>
      <c r="H89" s="3"/>
      <c r="I89" s="3"/>
      <c r="J89" s="3"/>
    </row>
    <row r="90" spans="2:10" x14ac:dyDescent="0.25">
      <c r="B90" s="1">
        <f t="shared" si="7"/>
        <v>77</v>
      </c>
      <c r="C90" s="2"/>
      <c r="D90" s="3"/>
      <c r="E90" s="2"/>
      <c r="F90" s="5"/>
      <c r="G90" s="10"/>
      <c r="H90" s="3"/>
      <c r="I90" s="3"/>
      <c r="J90" s="3"/>
    </row>
    <row r="91" spans="2:10" x14ac:dyDescent="0.25">
      <c r="B91" s="1">
        <f t="shared" si="7"/>
        <v>78</v>
      </c>
      <c r="C91" s="2"/>
      <c r="D91" s="3"/>
      <c r="E91" s="2"/>
      <c r="F91" s="5"/>
      <c r="G91" s="10"/>
      <c r="H91" s="3"/>
      <c r="I91" s="3"/>
      <c r="J91" s="3"/>
    </row>
    <row r="92" spans="2:10" x14ac:dyDescent="0.25">
      <c r="B92" s="1">
        <f t="shared" si="7"/>
        <v>79</v>
      </c>
      <c r="C92" s="2"/>
      <c r="D92" s="3"/>
      <c r="E92" s="2"/>
      <c r="F92" s="5"/>
      <c r="G92" s="10"/>
      <c r="H92" s="3"/>
      <c r="I92" s="3"/>
      <c r="J92" s="3"/>
    </row>
    <row r="93" spans="2:10" x14ac:dyDescent="0.25">
      <c r="B93" s="1">
        <f t="shared" si="7"/>
        <v>80</v>
      </c>
      <c r="C93" s="2"/>
      <c r="D93" s="3"/>
      <c r="E93" s="2"/>
      <c r="F93" s="5"/>
      <c r="G93" s="10"/>
      <c r="H93" s="3"/>
      <c r="I93" s="3"/>
      <c r="J93" s="3"/>
    </row>
    <row r="94" spans="2:10" x14ac:dyDescent="0.25">
      <c r="B94" s="1">
        <f t="shared" si="7"/>
        <v>81</v>
      </c>
      <c r="C94" s="2"/>
      <c r="D94" s="3"/>
      <c r="E94" s="2"/>
      <c r="F94" s="5"/>
      <c r="G94" s="9"/>
      <c r="H94" s="7"/>
      <c r="I94" s="7"/>
      <c r="J94" s="7"/>
    </row>
    <row r="95" spans="2:10" x14ac:dyDescent="0.25">
      <c r="B95" s="1">
        <f t="shared" si="7"/>
        <v>82</v>
      </c>
      <c r="C95" s="2"/>
      <c r="D95" s="3"/>
      <c r="E95" s="2"/>
      <c r="F95" s="5"/>
      <c r="G95" s="10"/>
      <c r="H95" s="3"/>
      <c r="I95" s="3"/>
      <c r="J95" s="3"/>
    </row>
    <row r="96" spans="2:10" x14ac:dyDescent="0.25">
      <c r="B96" s="1">
        <f t="shared" si="7"/>
        <v>83</v>
      </c>
      <c r="C96" s="2"/>
      <c r="D96" s="3"/>
      <c r="E96" s="2"/>
      <c r="F96" s="5"/>
      <c r="G96" s="10"/>
      <c r="H96" s="3"/>
      <c r="I96" s="3"/>
      <c r="J96" s="3"/>
    </row>
    <row r="97" spans="2:10" x14ac:dyDescent="0.25">
      <c r="B97" s="1">
        <f t="shared" si="7"/>
        <v>84</v>
      </c>
      <c r="C97" s="2"/>
      <c r="D97" s="3"/>
      <c r="E97" s="2"/>
      <c r="F97" s="5"/>
      <c r="G97" s="11"/>
      <c r="H97" s="8"/>
      <c r="I97" s="8"/>
      <c r="J97" s="8"/>
    </row>
    <row r="98" spans="2:10" x14ac:dyDescent="0.25">
      <c r="B98" s="1">
        <f t="shared" si="7"/>
        <v>85</v>
      </c>
      <c r="C98" s="2"/>
      <c r="D98" s="3"/>
      <c r="E98" s="2"/>
      <c r="F98" s="5"/>
      <c r="G98" s="11"/>
      <c r="H98" s="8"/>
      <c r="I98" s="8"/>
      <c r="J98" s="8"/>
    </row>
    <row r="99" spans="2:10" x14ac:dyDescent="0.25">
      <c r="B99" s="1">
        <f t="shared" si="7"/>
        <v>86</v>
      </c>
      <c r="C99" s="2"/>
      <c r="D99" s="3"/>
      <c r="E99" s="2"/>
      <c r="F99" s="5"/>
      <c r="G99" s="11"/>
      <c r="H99" s="8"/>
      <c r="I99" s="8"/>
      <c r="J99" s="8"/>
    </row>
    <row r="100" spans="2:10" x14ac:dyDescent="0.25">
      <c r="B100" s="1">
        <f t="shared" si="7"/>
        <v>87</v>
      </c>
      <c r="C100" s="2"/>
      <c r="D100" s="3"/>
      <c r="E100" s="2"/>
      <c r="F100" s="5"/>
      <c r="G100" s="10"/>
      <c r="H100" s="3"/>
      <c r="I100" s="3"/>
      <c r="J100" s="3"/>
    </row>
    <row r="101" spans="2:10" x14ac:dyDescent="0.25">
      <c r="B101" s="1">
        <f t="shared" si="7"/>
        <v>88</v>
      </c>
      <c r="C101" s="2"/>
      <c r="D101" s="3"/>
      <c r="E101" s="2"/>
      <c r="F101" s="5"/>
      <c r="G101" s="10"/>
      <c r="H101" s="3"/>
      <c r="I101" s="3"/>
      <c r="J101" s="3"/>
    </row>
    <row r="102" spans="2:10" x14ac:dyDescent="0.25">
      <c r="B102" s="1">
        <f t="shared" si="7"/>
        <v>89</v>
      </c>
      <c r="C102" s="2"/>
      <c r="D102" s="3"/>
      <c r="E102" s="2"/>
      <c r="F102" s="5"/>
      <c r="G102" s="10"/>
      <c r="H102" s="3"/>
      <c r="I102" s="3"/>
      <c r="J102" s="3"/>
    </row>
    <row r="103" spans="2:10" x14ac:dyDescent="0.25">
      <c r="B103" s="1">
        <f t="shared" si="7"/>
        <v>90</v>
      </c>
      <c r="C103" s="2"/>
      <c r="D103" s="3"/>
      <c r="E103" s="2"/>
      <c r="F103" s="5"/>
      <c r="G103" s="10"/>
      <c r="H103" s="3"/>
      <c r="I103" s="3"/>
      <c r="J103" s="3"/>
    </row>
    <row r="104" spans="2:10" x14ac:dyDescent="0.25">
      <c r="B104" s="1">
        <f t="shared" si="7"/>
        <v>91</v>
      </c>
      <c r="C104" s="2"/>
      <c r="D104" s="3"/>
      <c r="E104" s="2"/>
      <c r="F104" s="5"/>
      <c r="G104" s="10"/>
      <c r="H104" s="3"/>
      <c r="I104" s="3"/>
      <c r="J104" s="3"/>
    </row>
    <row r="105" spans="2:10" x14ac:dyDescent="0.25">
      <c r="B105" s="1">
        <f t="shared" si="7"/>
        <v>92</v>
      </c>
      <c r="C105" s="2"/>
      <c r="D105" s="3"/>
      <c r="E105" s="2"/>
      <c r="F105" s="5"/>
      <c r="G105" s="10"/>
      <c r="H105" s="3"/>
      <c r="I105" s="3"/>
      <c r="J105" s="3"/>
    </row>
    <row r="106" spans="2:10" x14ac:dyDescent="0.25">
      <c r="B106" s="1">
        <f t="shared" si="7"/>
        <v>93</v>
      </c>
      <c r="C106" s="2"/>
      <c r="D106" s="3"/>
      <c r="E106" s="2"/>
      <c r="F106" s="5"/>
      <c r="G106" s="9"/>
      <c r="H106" s="7"/>
      <c r="I106" s="7"/>
      <c r="J106" s="7"/>
    </row>
    <row r="107" spans="2:10" x14ac:dyDescent="0.25">
      <c r="B107" s="1">
        <f t="shared" si="7"/>
        <v>94</v>
      </c>
      <c r="C107" s="2"/>
      <c r="D107" s="3"/>
      <c r="E107" s="2"/>
      <c r="F107" s="5"/>
      <c r="G107" s="10"/>
      <c r="H107" s="3"/>
      <c r="I107" s="3"/>
      <c r="J107" s="3"/>
    </row>
    <row r="108" spans="2:10" x14ac:dyDescent="0.25">
      <c r="B108" s="1">
        <f t="shared" si="7"/>
        <v>95</v>
      </c>
      <c r="C108" s="2"/>
      <c r="D108" s="3"/>
      <c r="E108" s="2"/>
      <c r="F108" s="5"/>
      <c r="G108" s="10"/>
      <c r="H108" s="3"/>
      <c r="I108" s="3"/>
      <c r="J108" s="3"/>
    </row>
    <row r="109" spans="2:10" x14ac:dyDescent="0.25">
      <c r="B109" s="1">
        <f t="shared" si="7"/>
        <v>96</v>
      </c>
      <c r="C109" s="2"/>
      <c r="D109" s="3"/>
      <c r="E109" s="2"/>
      <c r="F109" s="5"/>
      <c r="G109" s="10"/>
      <c r="H109" s="3"/>
      <c r="I109" s="3"/>
      <c r="J109" s="3"/>
    </row>
    <row r="110" spans="2:10" x14ac:dyDescent="0.25">
      <c r="B110" s="1">
        <f t="shared" si="7"/>
        <v>97</v>
      </c>
      <c r="C110" s="2"/>
      <c r="D110" s="3"/>
      <c r="E110" s="2"/>
      <c r="F110" s="5"/>
      <c r="G110" s="9"/>
      <c r="H110" s="7"/>
      <c r="I110" s="7"/>
      <c r="J110" s="7"/>
    </row>
    <row r="111" spans="2:10" x14ac:dyDescent="0.25">
      <c r="B111" s="1">
        <f t="shared" si="7"/>
        <v>98</v>
      </c>
      <c r="C111" s="2"/>
      <c r="D111" s="3"/>
      <c r="E111" s="2"/>
      <c r="F111" s="5"/>
      <c r="G111" s="10"/>
      <c r="H111" s="3"/>
      <c r="I111" s="3"/>
      <c r="J111" s="3"/>
    </row>
    <row r="112" spans="2:10" x14ac:dyDescent="0.25">
      <c r="B112" s="1">
        <f t="shared" si="7"/>
        <v>99</v>
      </c>
      <c r="C112" s="2"/>
      <c r="D112" s="3"/>
      <c r="E112" s="2"/>
      <c r="F112" s="5"/>
      <c r="G112" s="10"/>
      <c r="H112" s="3"/>
      <c r="I112" s="3"/>
      <c r="J112" s="3"/>
    </row>
  </sheetData>
  <autoFilter ref="B13:M136" xr:uid="{B005C0B0-9D89-4729-AC6E-7F1010ED0730}"/>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5A00E-7E9B-4B69-921D-8AEE541D1FDB}">
  <sheetPr filterMode="1">
    <tabColor theme="9" tint="0.59999389629810485"/>
  </sheetPr>
  <dimension ref="A2:L60"/>
  <sheetViews>
    <sheetView showGridLines="0" tabSelected="1" topLeftCell="C34" zoomScale="115" zoomScaleNormal="115" workbookViewId="0">
      <selection activeCell="G37" sqref="G37"/>
    </sheetView>
  </sheetViews>
  <sheetFormatPr defaultColWidth="9.140625" defaultRowHeight="14.25" outlineLevelRow="1" x14ac:dyDescent="0.25"/>
  <cols>
    <col min="1" max="1" width="2.85546875" style="13" customWidth="1"/>
    <col min="2" max="2" width="7.85546875" style="12" customWidth="1"/>
    <col min="3" max="3" width="9.140625" style="12"/>
    <col min="4" max="4" width="23.42578125" style="13" customWidth="1"/>
    <col min="5" max="5" width="9.140625" style="12"/>
    <col min="6" max="6" width="40.85546875" style="13" customWidth="1"/>
    <col min="7" max="7" width="39" style="13" customWidth="1"/>
    <col min="8" max="8" width="32.42578125" style="13" customWidth="1"/>
    <col min="9" max="9" width="33.42578125" style="13" customWidth="1"/>
    <col min="10" max="10" width="32.5703125" style="13" customWidth="1"/>
    <col min="11" max="11" width="9.140625" style="13"/>
    <col min="12" max="12" width="12.5703125" style="13" customWidth="1"/>
    <col min="13" max="16384" width="9.140625" style="13"/>
  </cols>
  <sheetData>
    <row r="2" spans="2:10" ht="26.65" customHeight="1" x14ac:dyDescent="0.25">
      <c r="B2" s="14" t="s">
        <v>0</v>
      </c>
    </row>
    <row r="3" spans="2:10" ht="10.5" customHeight="1" x14ac:dyDescent="0.25">
      <c r="B3" s="14"/>
    </row>
    <row r="4" spans="2:10" ht="31.9" customHeight="1" outlineLevel="1" x14ac:dyDescent="0.25">
      <c r="B4" s="14"/>
      <c r="D4" s="18" t="s">
        <v>1</v>
      </c>
      <c r="E4" s="19" t="s">
        <v>2</v>
      </c>
      <c r="F4" s="20">
        <v>1</v>
      </c>
      <c r="G4" s="20">
        <v>2</v>
      </c>
      <c r="H4" s="20">
        <v>3</v>
      </c>
    </row>
    <row r="5" spans="2:10" ht="20.25" customHeight="1" outlineLevel="1" x14ac:dyDescent="0.25">
      <c r="B5" s="14"/>
      <c r="D5" s="19" t="s">
        <v>2</v>
      </c>
      <c r="E5" s="16">
        <f>SUM(E6:E9)</f>
        <v>24</v>
      </c>
      <c r="F5" s="17">
        <f>SUM(F6:F9)</f>
        <v>8</v>
      </c>
      <c r="G5" s="17">
        <f t="shared" ref="G5:H5" si="0">SUM(G6:G9)</f>
        <v>8</v>
      </c>
      <c r="H5" s="17">
        <f t="shared" si="0"/>
        <v>8</v>
      </c>
    </row>
    <row r="6" spans="2:10" ht="20.25" customHeight="1" outlineLevel="1" x14ac:dyDescent="0.25">
      <c r="B6" s="14"/>
      <c r="D6" s="20">
        <v>1</v>
      </c>
      <c r="E6" s="17">
        <f>SUM(F6:H6)</f>
        <v>6</v>
      </c>
      <c r="F6" s="21">
        <f t="shared" ref="F6:H9" si="1">COUNTIFS($E$13:$E$123,$D6,$C$13:$C$123,F$4)</f>
        <v>2</v>
      </c>
      <c r="G6" s="21">
        <f t="shared" si="1"/>
        <v>2</v>
      </c>
      <c r="H6" s="21">
        <f t="shared" si="1"/>
        <v>2</v>
      </c>
    </row>
    <row r="7" spans="2:10" ht="20.25" customHeight="1" outlineLevel="1" x14ac:dyDescent="0.25">
      <c r="B7" s="14"/>
      <c r="D7" s="20">
        <v>2</v>
      </c>
      <c r="E7" s="17">
        <f t="shared" ref="E7:E9" si="2">SUM(F7:H7)</f>
        <v>6</v>
      </c>
      <c r="F7" s="21">
        <f t="shared" si="1"/>
        <v>2</v>
      </c>
      <c r="G7" s="21">
        <f t="shared" si="1"/>
        <v>2</v>
      </c>
      <c r="H7" s="21">
        <f t="shared" si="1"/>
        <v>2</v>
      </c>
    </row>
    <row r="8" spans="2:10" ht="20.25" customHeight="1" outlineLevel="1" x14ac:dyDescent="0.25">
      <c r="B8" s="14"/>
      <c r="D8" s="20">
        <v>3</v>
      </c>
      <c r="E8" s="17">
        <f t="shared" si="2"/>
        <v>6</v>
      </c>
      <c r="F8" s="21">
        <f t="shared" si="1"/>
        <v>2</v>
      </c>
      <c r="G8" s="21">
        <f t="shared" si="1"/>
        <v>2</v>
      </c>
      <c r="H8" s="21">
        <f t="shared" si="1"/>
        <v>2</v>
      </c>
    </row>
    <row r="9" spans="2:10" ht="20.25" customHeight="1" outlineLevel="1" x14ac:dyDescent="0.25">
      <c r="B9" s="14"/>
      <c r="D9" s="20">
        <v>4</v>
      </c>
      <c r="E9" s="17">
        <f t="shared" si="2"/>
        <v>6</v>
      </c>
      <c r="F9" s="21">
        <f t="shared" si="1"/>
        <v>2</v>
      </c>
      <c r="G9" s="21">
        <f t="shared" si="1"/>
        <v>2</v>
      </c>
      <c r="H9" s="21">
        <f t="shared" si="1"/>
        <v>2</v>
      </c>
    </row>
    <row r="10" spans="2:10" ht="7.15" customHeight="1" x14ac:dyDescent="0.25"/>
    <row r="11" spans="2:10" ht="19.5" customHeight="1" x14ac:dyDescent="0.25">
      <c r="B11" s="29" t="s">
        <v>3</v>
      </c>
      <c r="C11" s="29" t="s">
        <v>4</v>
      </c>
      <c r="D11" s="29" t="s">
        <v>5</v>
      </c>
      <c r="E11" s="29" t="s">
        <v>6</v>
      </c>
      <c r="F11" s="27" t="s">
        <v>7</v>
      </c>
      <c r="G11" s="28" t="s">
        <v>8</v>
      </c>
      <c r="H11" s="28"/>
      <c r="I11" s="28"/>
      <c r="J11" s="28"/>
    </row>
    <row r="12" spans="2:10" ht="19.5" customHeight="1" x14ac:dyDescent="0.25">
      <c r="B12" s="29"/>
      <c r="C12" s="29"/>
      <c r="D12" s="29"/>
      <c r="E12" s="29"/>
      <c r="F12" s="27"/>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103.5" customHeight="1" x14ac:dyDescent="0.25">
      <c r="B14" s="1">
        <f>ROW()-ROW($B$13)</f>
        <v>1</v>
      </c>
      <c r="C14" s="2">
        <v>1</v>
      </c>
      <c r="D14" s="3" t="s">
        <v>13</v>
      </c>
      <c r="E14" s="2">
        <v>1</v>
      </c>
      <c r="F14" s="5" t="s">
        <v>130</v>
      </c>
      <c r="G14" s="9" t="s">
        <v>131</v>
      </c>
      <c r="H14" s="7" t="s">
        <v>132</v>
      </c>
      <c r="I14" s="7" t="s">
        <v>133</v>
      </c>
      <c r="J14" s="7" t="s">
        <v>134</v>
      </c>
    </row>
    <row r="15" spans="2:10" ht="46.15" customHeight="1" x14ac:dyDescent="0.25">
      <c r="B15" s="1">
        <f t="shared" ref="B15:B34" si="4">ROW()-ROW($B$13)</f>
        <v>2</v>
      </c>
      <c r="C15" s="2">
        <v>1</v>
      </c>
      <c r="D15" s="3" t="s">
        <v>13</v>
      </c>
      <c r="E15" s="2">
        <v>1</v>
      </c>
      <c r="F15" s="5" t="s">
        <v>19</v>
      </c>
      <c r="G15" s="10" t="s">
        <v>144</v>
      </c>
      <c r="H15" s="3" t="s">
        <v>21</v>
      </c>
      <c r="I15" s="3" t="s">
        <v>22</v>
      </c>
      <c r="J15" s="3" t="s">
        <v>23</v>
      </c>
    </row>
    <row r="16" spans="2:10" ht="119.25" customHeight="1" x14ac:dyDescent="0.25">
      <c r="B16" s="1">
        <f t="shared" si="4"/>
        <v>3</v>
      </c>
      <c r="C16" s="2">
        <v>2</v>
      </c>
      <c r="D16" s="3" t="s">
        <v>24</v>
      </c>
      <c r="E16" s="2">
        <v>1</v>
      </c>
      <c r="F16" s="5" t="s">
        <v>135</v>
      </c>
      <c r="G16" s="10" t="s">
        <v>131</v>
      </c>
      <c r="H16" s="3" t="s">
        <v>132</v>
      </c>
      <c r="I16" s="3" t="s">
        <v>133</v>
      </c>
      <c r="J16" s="3" t="s">
        <v>134</v>
      </c>
    </row>
    <row r="17" spans="2:10" ht="51" x14ac:dyDescent="0.25">
      <c r="B17" s="1">
        <f t="shared" si="4"/>
        <v>4</v>
      </c>
      <c r="C17" s="2">
        <v>2</v>
      </c>
      <c r="D17" s="3" t="s">
        <v>24</v>
      </c>
      <c r="E17" s="2">
        <v>1</v>
      </c>
      <c r="F17" s="5" t="s">
        <v>30</v>
      </c>
      <c r="G17" s="10" t="s">
        <v>31</v>
      </c>
      <c r="H17" s="3" t="s">
        <v>32</v>
      </c>
      <c r="I17" s="3" t="s">
        <v>33</v>
      </c>
      <c r="J17" s="3" t="s">
        <v>34</v>
      </c>
    </row>
    <row r="18" spans="2:10" ht="111" customHeight="1" x14ac:dyDescent="0.25">
      <c r="B18" s="1">
        <f t="shared" si="4"/>
        <v>5</v>
      </c>
      <c r="C18" s="2">
        <v>3</v>
      </c>
      <c r="D18" s="3" t="s">
        <v>35</v>
      </c>
      <c r="E18" s="2">
        <v>1</v>
      </c>
      <c r="F18" s="5" t="s">
        <v>136</v>
      </c>
      <c r="G18" s="10" t="s">
        <v>131</v>
      </c>
      <c r="H18" s="3" t="s">
        <v>132</v>
      </c>
      <c r="I18" s="3" t="s">
        <v>133</v>
      </c>
      <c r="J18" s="3" t="s">
        <v>134</v>
      </c>
    </row>
    <row r="19" spans="2:10" ht="51" x14ac:dyDescent="0.25">
      <c r="B19" s="1">
        <f t="shared" si="4"/>
        <v>6</v>
      </c>
      <c r="C19" s="2">
        <v>3</v>
      </c>
      <c r="D19" s="3" t="s">
        <v>35</v>
      </c>
      <c r="E19" s="2">
        <v>1</v>
      </c>
      <c r="F19" s="5" t="s">
        <v>40</v>
      </c>
      <c r="G19" s="10" t="s">
        <v>141</v>
      </c>
      <c r="H19" s="3" t="s">
        <v>42</v>
      </c>
      <c r="I19" s="3" t="s">
        <v>43</v>
      </c>
      <c r="J19" s="3" t="s">
        <v>44</v>
      </c>
    </row>
    <row r="20" spans="2:10" ht="38.25" x14ac:dyDescent="0.25">
      <c r="B20" s="1">
        <f t="shared" si="4"/>
        <v>7</v>
      </c>
      <c r="C20" s="2">
        <v>1</v>
      </c>
      <c r="D20" s="3" t="s">
        <v>13</v>
      </c>
      <c r="E20" s="2">
        <v>2</v>
      </c>
      <c r="F20" s="5" t="s">
        <v>45</v>
      </c>
      <c r="G20" s="10" t="s">
        <v>142</v>
      </c>
      <c r="H20" s="3" t="s">
        <v>47</v>
      </c>
      <c r="I20" s="3" t="s">
        <v>48</v>
      </c>
      <c r="J20" s="3" t="s">
        <v>49</v>
      </c>
    </row>
    <row r="21" spans="2:10" ht="51.75" customHeight="1" x14ac:dyDescent="0.25">
      <c r="B21" s="1">
        <f t="shared" si="4"/>
        <v>8</v>
      </c>
      <c r="C21" s="2">
        <v>1</v>
      </c>
      <c r="D21" s="3" t="s">
        <v>13</v>
      </c>
      <c r="E21" s="2">
        <v>2</v>
      </c>
      <c r="F21" s="5" t="s">
        <v>50</v>
      </c>
      <c r="G21" s="10" t="s">
        <v>143</v>
      </c>
      <c r="H21" s="3" t="s">
        <v>52</v>
      </c>
      <c r="I21" s="3" t="s">
        <v>53</v>
      </c>
      <c r="J21" s="3" t="s">
        <v>54</v>
      </c>
    </row>
    <row r="22" spans="2:10" ht="114.75" x14ac:dyDescent="0.25">
      <c r="B22" s="1">
        <f t="shared" si="4"/>
        <v>9</v>
      </c>
      <c r="C22" s="2">
        <v>2</v>
      </c>
      <c r="D22" s="3" t="s">
        <v>24</v>
      </c>
      <c r="E22" s="2">
        <v>2</v>
      </c>
      <c r="F22" s="5" t="s">
        <v>145</v>
      </c>
      <c r="G22" s="10" t="s">
        <v>131</v>
      </c>
      <c r="H22" s="8" t="s">
        <v>132</v>
      </c>
      <c r="I22" s="8" t="s">
        <v>133</v>
      </c>
      <c r="J22" s="8" t="s">
        <v>134</v>
      </c>
    </row>
    <row r="23" spans="2:10" ht="49.15" customHeight="1" x14ac:dyDescent="0.25">
      <c r="B23" s="1">
        <f t="shared" si="4"/>
        <v>10</v>
      </c>
      <c r="C23" s="2">
        <v>2</v>
      </c>
      <c r="D23" s="3" t="s">
        <v>24</v>
      </c>
      <c r="E23" s="2">
        <v>2</v>
      </c>
      <c r="F23" s="5" t="s">
        <v>60</v>
      </c>
      <c r="G23" s="11" t="s">
        <v>146</v>
      </c>
      <c r="H23" s="8" t="s">
        <v>62</v>
      </c>
      <c r="I23" s="8" t="s">
        <v>63</v>
      </c>
      <c r="J23" s="8" t="s">
        <v>64</v>
      </c>
    </row>
    <row r="24" spans="2:10" ht="51" x14ac:dyDescent="0.25">
      <c r="B24" s="1">
        <f t="shared" si="4"/>
        <v>11</v>
      </c>
      <c r="C24" s="2">
        <v>3</v>
      </c>
      <c r="D24" s="3" t="s">
        <v>35</v>
      </c>
      <c r="E24" s="2">
        <v>2</v>
      </c>
      <c r="F24" s="5" t="s">
        <v>65</v>
      </c>
      <c r="G24" s="11" t="s">
        <v>66</v>
      </c>
      <c r="H24" s="8" t="s">
        <v>67</v>
      </c>
      <c r="I24" s="8" t="s">
        <v>68</v>
      </c>
      <c r="J24" s="8" t="s">
        <v>69</v>
      </c>
    </row>
    <row r="25" spans="2:10" ht="51" x14ac:dyDescent="0.25">
      <c r="B25" s="1">
        <f t="shared" si="4"/>
        <v>12</v>
      </c>
      <c r="C25" s="2">
        <v>3</v>
      </c>
      <c r="D25" s="3" t="s">
        <v>35</v>
      </c>
      <c r="E25" s="2">
        <v>2</v>
      </c>
      <c r="F25" s="5" t="s">
        <v>148</v>
      </c>
      <c r="G25" s="11" t="s">
        <v>147</v>
      </c>
      <c r="H25" s="8" t="s">
        <v>72</v>
      </c>
      <c r="I25" s="8" t="s">
        <v>73</v>
      </c>
      <c r="J25" s="8" t="s">
        <v>74</v>
      </c>
    </row>
    <row r="26" spans="2:10" ht="89.25" x14ac:dyDescent="0.25">
      <c r="B26" s="1">
        <f t="shared" si="4"/>
        <v>13</v>
      </c>
      <c r="C26" s="2">
        <v>1</v>
      </c>
      <c r="D26" s="3" t="s">
        <v>13</v>
      </c>
      <c r="E26" s="2">
        <v>3</v>
      </c>
      <c r="F26" s="5" t="s">
        <v>149</v>
      </c>
      <c r="G26" s="10" t="s">
        <v>150</v>
      </c>
      <c r="H26" s="3" t="s">
        <v>77</v>
      </c>
      <c r="I26" s="3" t="s">
        <v>78</v>
      </c>
      <c r="J26" s="3" t="s">
        <v>79</v>
      </c>
    </row>
    <row r="27" spans="2:10" ht="89.25" x14ac:dyDescent="0.25">
      <c r="B27" s="1">
        <f t="shared" si="4"/>
        <v>14</v>
      </c>
      <c r="C27" s="2">
        <v>1</v>
      </c>
      <c r="D27" s="3" t="s">
        <v>13</v>
      </c>
      <c r="E27" s="2">
        <v>3</v>
      </c>
      <c r="F27" s="5" t="s">
        <v>151</v>
      </c>
      <c r="G27" s="10" t="s">
        <v>152</v>
      </c>
      <c r="H27" s="3" t="s">
        <v>82</v>
      </c>
      <c r="I27" s="3" t="s">
        <v>83</v>
      </c>
      <c r="J27" s="3" t="s">
        <v>84</v>
      </c>
    </row>
    <row r="28" spans="2:10" ht="85.15" customHeight="1" x14ac:dyDescent="0.25">
      <c r="B28" s="1">
        <f t="shared" si="4"/>
        <v>15</v>
      </c>
      <c r="C28" s="2">
        <v>2</v>
      </c>
      <c r="D28" s="3" t="s">
        <v>24</v>
      </c>
      <c r="E28" s="2">
        <v>3</v>
      </c>
      <c r="F28" s="5" t="s">
        <v>153</v>
      </c>
      <c r="G28" s="10" t="s">
        <v>154</v>
      </c>
      <c r="H28" s="3" t="s">
        <v>87</v>
      </c>
      <c r="I28" s="3" t="s">
        <v>88</v>
      </c>
      <c r="J28" s="3" t="s">
        <v>89</v>
      </c>
    </row>
    <row r="29" spans="2:10" ht="70.5" customHeight="1" x14ac:dyDescent="0.25">
      <c r="B29" s="1">
        <f t="shared" si="4"/>
        <v>16</v>
      </c>
      <c r="C29" s="2">
        <v>2</v>
      </c>
      <c r="D29" s="3" t="s">
        <v>24</v>
      </c>
      <c r="E29" s="2">
        <v>3</v>
      </c>
      <c r="F29" s="5" t="s">
        <v>155</v>
      </c>
      <c r="G29" s="10" t="s">
        <v>156</v>
      </c>
      <c r="H29" s="3" t="s">
        <v>92</v>
      </c>
      <c r="I29" s="3" t="s">
        <v>93</v>
      </c>
      <c r="J29" s="3" t="s">
        <v>94</v>
      </c>
    </row>
    <row r="30" spans="2:10" ht="89.25" x14ac:dyDescent="0.25">
      <c r="B30" s="1">
        <f t="shared" si="4"/>
        <v>17</v>
      </c>
      <c r="C30" s="2">
        <v>3</v>
      </c>
      <c r="D30" s="3" t="s">
        <v>35</v>
      </c>
      <c r="E30" s="2">
        <v>3</v>
      </c>
      <c r="F30" s="5" t="s">
        <v>157</v>
      </c>
      <c r="G30" s="10" t="s">
        <v>158</v>
      </c>
      <c r="H30" s="3" t="s">
        <v>97</v>
      </c>
      <c r="I30" s="3" t="s">
        <v>98</v>
      </c>
      <c r="J30" s="3" t="s">
        <v>99</v>
      </c>
    </row>
    <row r="31" spans="2:10" ht="75" customHeight="1" x14ac:dyDescent="0.25">
      <c r="B31" s="1">
        <f t="shared" si="4"/>
        <v>18</v>
      </c>
      <c r="C31" s="2">
        <v>3</v>
      </c>
      <c r="D31" s="3" t="s">
        <v>35</v>
      </c>
      <c r="E31" s="2">
        <v>3</v>
      </c>
      <c r="F31" s="5" t="s">
        <v>159</v>
      </c>
      <c r="G31" s="10" t="s">
        <v>160</v>
      </c>
      <c r="H31" s="3" t="s">
        <v>102</v>
      </c>
      <c r="I31" s="3" t="s">
        <v>103</v>
      </c>
      <c r="J31" s="3" t="s">
        <v>104</v>
      </c>
    </row>
    <row r="32" spans="2:10" ht="114.75" x14ac:dyDescent="0.25">
      <c r="B32" s="1">
        <f t="shared" si="4"/>
        <v>19</v>
      </c>
      <c r="C32" s="2">
        <v>1</v>
      </c>
      <c r="D32" s="3" t="s">
        <v>13</v>
      </c>
      <c r="E32" s="2">
        <v>4</v>
      </c>
      <c r="F32" s="5" t="s">
        <v>161</v>
      </c>
      <c r="G32" s="9" t="s">
        <v>162</v>
      </c>
      <c r="H32" s="7" t="s">
        <v>107</v>
      </c>
      <c r="I32" s="7" t="s">
        <v>108</v>
      </c>
      <c r="J32" s="7" t="s">
        <v>109</v>
      </c>
    </row>
    <row r="33" spans="1:12" ht="102" customHeight="1" x14ac:dyDescent="0.25">
      <c r="B33" s="1">
        <f t="shared" si="4"/>
        <v>20</v>
      </c>
      <c r="C33" s="2">
        <v>1</v>
      </c>
      <c r="D33" s="3" t="s">
        <v>13</v>
      </c>
      <c r="E33" s="2">
        <v>4</v>
      </c>
      <c r="F33" s="5" t="s">
        <v>163</v>
      </c>
      <c r="G33" s="10" t="s">
        <v>164</v>
      </c>
      <c r="H33" s="3" t="s">
        <v>112</v>
      </c>
      <c r="I33" s="3" t="s">
        <v>113</v>
      </c>
      <c r="J33" s="3" t="s">
        <v>114</v>
      </c>
    </row>
    <row r="34" spans="1:12" ht="140.25" x14ac:dyDescent="0.25">
      <c r="B34" s="1">
        <f t="shared" si="4"/>
        <v>21</v>
      </c>
      <c r="C34" s="2">
        <v>2</v>
      </c>
      <c r="D34" s="3" t="s">
        <v>24</v>
      </c>
      <c r="E34" s="2">
        <v>4</v>
      </c>
      <c r="F34" s="5" t="s">
        <v>165</v>
      </c>
      <c r="G34" s="10" t="s">
        <v>166</v>
      </c>
      <c r="H34" s="3" t="s">
        <v>117</v>
      </c>
      <c r="I34" s="3" t="s">
        <v>118</v>
      </c>
      <c r="J34" s="3" t="s">
        <v>119</v>
      </c>
    </row>
    <row r="35" spans="1:12" ht="114.75" x14ac:dyDescent="0.25">
      <c r="B35" s="1">
        <f>ROW()-ROW($B$13)</f>
        <v>22</v>
      </c>
      <c r="C35" s="2">
        <v>2</v>
      </c>
      <c r="D35" s="3" t="s">
        <v>24</v>
      </c>
      <c r="E35" s="2">
        <v>4</v>
      </c>
      <c r="F35" s="5" t="s">
        <v>167</v>
      </c>
      <c r="G35" s="9" t="s">
        <v>169</v>
      </c>
      <c r="H35" s="7" t="s">
        <v>122</v>
      </c>
      <c r="I35" s="7" t="s">
        <v>123</v>
      </c>
      <c r="J35" s="7" t="s">
        <v>124</v>
      </c>
    </row>
    <row r="36" spans="1:12" ht="124.5" customHeight="1" x14ac:dyDescent="0.25">
      <c r="B36" s="1">
        <f t="shared" ref="B36" si="5">ROW()-ROW($B$13)</f>
        <v>23</v>
      </c>
      <c r="C36" s="2">
        <v>3</v>
      </c>
      <c r="D36" s="3" t="s">
        <v>35</v>
      </c>
      <c r="E36" s="2">
        <v>4</v>
      </c>
      <c r="F36" s="5" t="s">
        <v>168</v>
      </c>
      <c r="G36" s="10" t="s">
        <v>170</v>
      </c>
      <c r="H36" s="3" t="s">
        <v>127</v>
      </c>
      <c r="I36" s="3" t="s">
        <v>128</v>
      </c>
      <c r="J36" s="3" t="s">
        <v>129</v>
      </c>
    </row>
    <row r="37" spans="1:12" ht="102" customHeight="1" x14ac:dyDescent="0.25">
      <c r="A37" s="22"/>
      <c r="B37" s="23">
        <v>24</v>
      </c>
      <c r="C37" s="24">
        <v>3</v>
      </c>
      <c r="D37" s="24" t="s">
        <v>35</v>
      </c>
      <c r="E37" s="24">
        <v>4</v>
      </c>
      <c r="F37" s="25" t="s">
        <v>137</v>
      </c>
      <c r="G37" s="26" t="s">
        <v>171</v>
      </c>
      <c r="H37" s="24" t="s">
        <v>138</v>
      </c>
      <c r="I37" s="24" t="s">
        <v>139</v>
      </c>
      <c r="J37" s="24" t="s">
        <v>140</v>
      </c>
      <c r="K37" s="22"/>
      <c r="L37" s="22"/>
    </row>
    <row r="38" spans="1:12" hidden="1" x14ac:dyDescent="0.25"/>
    <row r="39" spans="1:12" hidden="1" x14ac:dyDescent="0.25"/>
    <row r="40" spans="1:12" hidden="1" x14ac:dyDescent="0.25"/>
    <row r="41" spans="1:12" hidden="1" x14ac:dyDescent="0.25"/>
    <row r="42" spans="1:12" hidden="1" x14ac:dyDescent="0.25"/>
    <row r="43" spans="1:12" hidden="1" x14ac:dyDescent="0.25"/>
    <row r="44" spans="1:12" hidden="1" x14ac:dyDescent="0.25"/>
    <row r="45" spans="1:12" hidden="1" x14ac:dyDescent="0.25"/>
    <row r="46" spans="1:12" hidden="1" x14ac:dyDescent="0.25"/>
    <row r="47" spans="1:12" hidden="1" x14ac:dyDescent="0.25"/>
    <row r="48" spans="1:12"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sheetData>
  <autoFilter ref="B13:M60" xr:uid="{B005C0B0-9D89-4729-AC6E-7F1010ED0730}">
    <filterColumn colId="3">
      <customFilters>
        <customFilter operator="notEqual" val=" "/>
      </customFilters>
    </filterColumn>
  </autoFilter>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272855-0F53-4681-BA8F-D66B0880C863}">
  <ds:schemaRefs>
    <ds:schemaRef ds:uri="http://schemas.microsoft.com/sharepoint/v3/contenttype/forms"/>
  </ds:schemaRefs>
</ds:datastoreItem>
</file>

<file path=customXml/itemProps2.xml><?xml version="1.0" encoding="utf-8"?>
<ds:datastoreItem xmlns:ds="http://schemas.openxmlformats.org/officeDocument/2006/customXml" ds:itemID="{9C74F1A6-3224-46D5-BEE9-E53A02F973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2CB5D4-39FC-438D-8C81-2ED21D07B929}">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P15</vt:lpstr>
      <vt:lpstr>P15_final</vt:lpstr>
      <vt:lpstr>'P15'!Print_Area</vt:lpstr>
      <vt:lpstr>P15_final!Print_Area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dcterms:created xsi:type="dcterms:W3CDTF">2025-07-01T11:38:19Z</dcterms:created>
  <dcterms:modified xsi:type="dcterms:W3CDTF">2025-08-07T04:26:17Z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