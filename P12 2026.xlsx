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Tài liệu\DGNL\DGNL-2026 2\DGNL-2026\"/>
    </mc:Choice>
  </mc:AlternateContent>
  <xr:revisionPtr revIDLastSave="0" documentId="13_ncr:1_{3792A64D-379C-487A-967B-B50821A7F476}" xr6:coauthVersionLast="47" xr6:coauthVersionMax="47" xr10:uidLastSave="{00000000-0000-0000-0000-000000000000}"/>
  <bookViews>
    <workbookView xWindow="-120" yWindow="-120" windowWidth="29040" windowHeight="15720" xr2:uid="{0A323993-6B0E-4465-9440-DABB234748ED}"/>
  </bookViews>
  <sheets>
    <sheet name="Sheet1" sheetId="1" r:id="rId1"/>
  </sheets>
  <definedNames>
    <definedName name="_xlnm._FilterDatabase" localSheetId="0" hidden="1">Sheet1!$B$13:$M$137</definedName>
    <definedName name="_xlnm.Print_Area" localSheetId="0">Sheet1!$B$1:$L$113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1" l="1"/>
  <c r="G7" i="1"/>
  <c r="H7" i="1"/>
  <c r="F8" i="1"/>
  <c r="G8" i="1"/>
  <c r="H8" i="1"/>
  <c r="F9" i="1"/>
  <c r="G9" i="1"/>
  <c r="H9" i="1"/>
  <c r="H6" i="1" l="1"/>
  <c r="G6" i="1"/>
  <c r="F6" i="1"/>
  <c r="B109" i="1"/>
  <c r="B108" i="1"/>
  <c r="B107" i="1"/>
  <c r="B106" i="1"/>
  <c r="B97" i="1"/>
  <c r="B96" i="1"/>
  <c r="B95" i="1"/>
  <c r="B94" i="1"/>
  <c r="B93" i="1"/>
  <c r="B92" i="1"/>
  <c r="B91" i="1"/>
  <c r="B90" i="1"/>
  <c r="B89" i="1"/>
  <c r="B88" i="1"/>
  <c r="B87" i="1"/>
  <c r="B86" i="1"/>
  <c r="B34" i="1"/>
  <c r="B33" i="1"/>
  <c r="B32" i="1"/>
  <c r="B31" i="1"/>
  <c r="B30" i="1"/>
  <c r="B29" i="1"/>
  <c r="B28" i="1"/>
  <c r="B27" i="1"/>
  <c r="B26" i="1"/>
  <c r="B25" i="1"/>
  <c r="B24" i="1"/>
  <c r="B23" i="1"/>
  <c r="B22" i="1"/>
  <c r="B21" i="1"/>
  <c r="B20" i="1"/>
  <c r="B19" i="1"/>
  <c r="B18" i="1"/>
  <c r="B17" i="1"/>
  <c r="B16" i="1"/>
  <c r="B15" i="1"/>
  <c r="B14" i="1"/>
  <c r="B55" i="1"/>
  <c r="B54" i="1"/>
  <c r="B53" i="1"/>
  <c r="B52" i="1"/>
  <c r="B51" i="1"/>
  <c r="B50" i="1"/>
  <c r="B49" i="1"/>
  <c r="B48" i="1"/>
  <c r="B47" i="1"/>
  <c r="B46" i="1"/>
  <c r="B45" i="1"/>
  <c r="B44" i="1"/>
  <c r="B43" i="1"/>
  <c r="B42" i="1"/>
  <c r="B41" i="1"/>
  <c r="B40" i="1"/>
  <c r="B39" i="1"/>
  <c r="B38" i="1"/>
  <c r="B37" i="1"/>
  <c r="B36" i="1"/>
  <c r="B35" i="1"/>
  <c r="B76" i="1"/>
  <c r="B75" i="1"/>
  <c r="B74" i="1"/>
  <c r="B73" i="1"/>
  <c r="B72" i="1"/>
  <c r="B71" i="1"/>
  <c r="B70" i="1"/>
  <c r="B69" i="1"/>
  <c r="B68" i="1"/>
  <c r="B67" i="1"/>
  <c r="B66" i="1"/>
  <c r="B65" i="1"/>
  <c r="B64" i="1"/>
  <c r="B63" i="1"/>
  <c r="B62" i="1"/>
  <c r="B61" i="1"/>
  <c r="B60" i="1"/>
  <c r="B59" i="1"/>
  <c r="B58" i="1"/>
  <c r="B57" i="1"/>
  <c r="B56" i="1"/>
  <c r="B78" i="1"/>
  <c r="B79" i="1"/>
  <c r="B80" i="1"/>
  <c r="B81" i="1"/>
  <c r="B82" i="1"/>
  <c r="B83" i="1"/>
  <c r="B84" i="1"/>
  <c r="B85" i="1"/>
  <c r="B98" i="1"/>
  <c r="B99" i="1"/>
  <c r="B100" i="1"/>
  <c r="B101" i="1"/>
  <c r="B102" i="1"/>
  <c r="B103" i="1"/>
  <c r="B104" i="1"/>
  <c r="B105" i="1"/>
  <c r="B110" i="1"/>
  <c r="B111" i="1"/>
  <c r="B112" i="1"/>
  <c r="B113" i="1"/>
  <c r="B77" i="1"/>
  <c r="C13" i="1"/>
  <c r="D13" i="1"/>
  <c r="E13" i="1"/>
  <c r="F13" i="1"/>
  <c r="G13" i="1"/>
  <c r="H13" i="1"/>
  <c r="I13" i="1"/>
  <c r="J13" i="1"/>
  <c r="B13" i="1"/>
  <c r="H5" i="1" l="1"/>
  <c r="E8" i="1"/>
  <c r="E9" i="1"/>
  <c r="F5" i="1"/>
  <c r="E7" i="1"/>
  <c r="G5" i="1"/>
  <c r="E6" i="1"/>
  <c r="E5" i="1" l="1"/>
</calcChain>
</file>

<file path=xl/sharedStrings.xml><?xml version="1.0" encoding="utf-8"?>
<sst xmlns="http://schemas.openxmlformats.org/spreadsheetml/2006/main" count="224" uniqueCount="191">
  <si>
    <t>STT</t>
  </si>
  <si>
    <t>Mã khía cạnh</t>
  </si>
  <si>
    <t>Khía cạnh</t>
  </si>
  <si>
    <t>Cấp độ</t>
  </si>
  <si>
    <t>Đáp án đúng</t>
  </si>
  <si>
    <t>Phương án sai  1</t>
  </si>
  <si>
    <t>Phương án sai 2</t>
  </si>
  <si>
    <t>Phương án sai 3</t>
  </si>
  <si>
    <t>Câu hỏi</t>
  </si>
  <si>
    <t>Đáp án</t>
  </si>
  <si>
    <t xml:space="preserve">                        Khía cạnh
   Cấp độ                    </t>
  </si>
  <si>
    <t>TỔNG</t>
  </si>
  <si>
    <t>Thiết kế CSDL: Xác định cấu trúc và tổ chức dữ liệu, đảm bảo lưu trữ, truy xuất và quản lý dữ liệu hiệu quả</t>
  </si>
  <si>
    <t>Quản trị CSDL: Quản lý, tổ chức và bảo đảm an toàn cho CSDL, đảm bảo tính toàn vẹn và hiệu quả truy cập</t>
  </si>
  <si>
    <t>Khai thác dữ liệu: Thu thập, phân tích và sử dụng dữ liệu CNTT để hỗ trợ ra quyết định và tối ưu hóa hoạt động</t>
  </si>
  <si>
    <t>Mục tiêu chính của việc chuẩn hóa cơ sở dữ liệu là gì?</t>
  </si>
  <si>
    <t>Giảm thiểu dư thừa dữ liệu và đảm bảo tính toàn vẹn giữa các bảng</t>
  </si>
  <si>
    <t>Tăng tốc độ lưu trữ dữ liệu trên ổ cứng</t>
  </si>
  <si>
    <t>Giúp viết được các câu lệnh JOIN dễ dàng hơn</t>
  </si>
  <si>
    <t>Tối ưu hóa việc cập nhật dữ liệu bằng cách kết hợp mọi thông tin trong một bảng duy nhất</t>
  </si>
  <si>
    <t>Trong hệ thống giao dịch realtime, cấu trúc dữ liệu nào sau đây phù hợp nhất để lưu trữ các giao dịch theo thứ tự thời gian?</t>
  </si>
  <si>
    <t>Queue</t>
  </si>
  <si>
    <t>HashMap</t>
  </si>
  <si>
    <t>Stack</t>
  </si>
  <si>
    <t>Set</t>
  </si>
  <si>
    <t>Trong thiết kế cơ sở dữ liệu, tại sao cần phân tích dữ liệu đầu vào trước khi xây dựng cấu trúc bảng?</t>
  </si>
  <si>
    <t>Để xác định các thực thể, mối quan hệ và đảm bảo dữ liệu được lưu trữ chính xác, tránh trùng lặp</t>
  </si>
  <si>
    <t>Để có thể viết được mã SQL nhanh hơn</t>
  </si>
  <si>
    <t>Để tạo các bảng tên ngắn, dễ thao tác trên giao diện quản trị</t>
  </si>
  <si>
    <t>Để người dùng nhập dữ liệu dễ hơn vào hệ thống</t>
  </si>
  <si>
    <t>Để bảo vệ dữ liệu nhạy cảm như số thẻ trong CSDL, biện pháp nào sau đây phù hợp nhất?</t>
  </si>
  <si>
    <t>Mã hóa dữ liệu ở tầng ứng dụng</t>
  </si>
  <si>
    <t>Lưu dưới dạng plain text nhưng giới hạn quyền truy cập</t>
  </si>
  <si>
    <t>Chỉ lưu 4 số cuối của thẻ</t>
  </si>
  <si>
    <t>Mã hóa dữ liệu ở tầng cơ sở dữ liệu (TDE - Transparent Data Encryption)</t>
  </si>
  <si>
    <t>Khi thiết kế CSDL cho ứng dụng có nhiều nghiệp vụ khác nhau, yếu tố nào cần quan tâm đầu tiên?</t>
  </si>
  <si>
    <t>Xác định rõ nhóm chức năng chính và mối liên kết giữa các luồng dữ liệu</t>
  </si>
  <si>
    <t>Tách bảng theo từng người dùng để dễ quản lý</t>
  </si>
  <si>
    <t>Tối ưu hóa các bảng để chỉ phục vụ một chức năng duy nhất</t>
  </si>
  <si>
    <t>Gộp tất cả dữ liệu vào một bảng lớn để tiện truy vấn</t>
  </si>
  <si>
    <t>Trong hệ thống realtime, để đảm bảo tính nhất quán khi nhiều luồng cùng ghi vào cấu trúc dữ liệu, ta nên sử dụng:
A. Cấu trúc dữ liệu bất đồng bộ (non-thread-safe)
B. Cấu trúc dữ liệu đồng bộ (thread-safe)
C. Cấu trúc dữ liệu bất biến (immutable)
D. Cấu trúc dữ liệu tĩnh (static)</t>
  </si>
  <si>
    <t>B</t>
  </si>
  <si>
    <t>A</t>
  </si>
  <si>
    <t>C</t>
  </si>
  <si>
    <t>D</t>
  </si>
  <si>
    <t>Vì sao cần tách bảng dữ liệu giao dịch và bảng dữ liệu tham chiếu trong thiết kế CSDL?</t>
  </si>
  <si>
    <t>Để tránh trùng lặp dữ liệu, dễ cập nhật khi thay đổi và cải thiện hiệu suất truy vấn</t>
  </si>
  <si>
    <t>Giúp gộp tất cả dữ liệu báo cáo vào một nơi duy nhất</t>
  </si>
  <si>
    <t>Để giảm kích thước dữ liệu đầu vào cho hệ thống</t>
  </si>
  <si>
    <t>Tăng khả năng sao lưu bằng cách chỉ cần sao bảng tham chiếu</t>
  </si>
  <si>
    <t>Anh/Chị được yêu cầu thiết kế cơ sở dữ liệu phục vụ hệ thống phân tích giao dịch tài chính theo thời gian thực. Hệ thống này có lượng dữ liệu lớn, thay đổi liên tục và yêu cầu truy vấn linh hoạt từ nhiều bộ phận. Giải pháp thiết kế phù hợp cần đáp ứng những yếu tố nào?</t>
  </si>
  <si>
    <t>Tách cấu trúc giao dịch thành bảng phân vùng theo thời gian, dùng chỉ mục động và chuẩn hóa linh hoạt, hỗ trợ truy vấn nhiều chiều từ các hệ thống BI</t>
  </si>
  <si>
    <t>Thiết kế một bảng dữ liệu tập trung chứa đầy đủ tất cả thông tin giao dịch, kết hợp các chỉ mục theo từng trường dữ liệu và sử dụng mã hóa để quản lý tính bảo mật.</t>
  </si>
  <si>
    <t>Chuyển toàn bộ dữ liệu giao dịch sang hệ thống backup hàng ngày nhằm giảm tải cho hệ thống chính, từ đó tối ưu hóa hoạt động lưu trữ và truy xuất.</t>
  </si>
  <si>
    <t>Sử dụng bảng có cấu trúc JSON để lưu linh hoạt mọi trường dữ liệu phát sinh theo nhu cầu mà không cần phải thiết kế lại toàn bộ lược đồ cơ sở dữ liệu.</t>
  </si>
  <si>
    <t>Hệ thống thanh toán của bạn cần lưu trữ hàng tỷ giao dịch mỗi năm. Truy vấn các giao dịch cũ trở nên chậm. Giải pháp nào sau đây là tối ưu nhất?</t>
  </si>
  <si>
    <t>Phân vùng bảng Transactions theo thời gian (partitioning)</t>
  </si>
  <si>
    <t>Tăng RAM và CPU cho máy chủ CSDL</t>
  </si>
  <si>
    <t>Tạo thêm chỉ mục trên bảng Transactions</t>
  </si>
  <si>
    <t>Lưu giao dịch cũ vào file log và xóa khỏi CSDL</t>
  </si>
  <si>
    <t>Một hệ thống dữ liệu mới được yêu cầu lưu cả thông tin đăng ký người dùng và lịch sử giao dịch. Làm thế nào để đảm bảo thiết kế dữ liệu vừa đáp ứng tính toàn vẹn, vừa truy vấn hiệu quả khi số lượng bản ghi tăng nhanh?</t>
  </si>
  <si>
    <t>Áp dụng khóa ngoại chuẩn hóa, chia bảng theo loại dữ liệu, tạo chỉ mục theo cột truy vấn thường xuyên và phân tích mẫu truy cập</t>
  </si>
  <si>
    <t>Gộp tất cả dữ liệu người dùng và giao dịch vào một bảng tổng hợp duy nhất, có thêm cột phân loại dữ liệu để tiện quản lý và giảm số lượng bảng cần đồng bộ.</t>
  </si>
  <si>
    <t>Tách dữ liệu lịch sử giao dịch sang hệ thống ngoại vi lưu trữ định kỳ, giảm tải cho hệ chính và tăng tốc độ truy vấn các bản ghi gần đây.</t>
  </si>
  <si>
    <t>Sử dụng bảng đệm chứa thông tin tổng hợp của cả người dùng và giao dịch, đồng bộ theo batch định kỳ để phục vụ báo cáo nhanh và dễ dàng phân tích.</t>
  </si>
  <si>
    <t>Một hệ thống thanh toán cần xử lý hàng triệu giao dịch mỗi ngày, với yêu cầu truy vấn nhanh theo người dùng (user_id) và theo thời gian (time_stamp). Bạn sẽ thiết kế chỉ mục (index) như thế nào để tối ưu hiệu năng?</t>
  </si>
  <si>
    <t>Tạo chỉ mục kết hợp (user_id, time_stamp)</t>
  </si>
  <si>
    <t>Tạo chỉ mục riêng biệt trên user_id và time_stamp</t>
  </si>
  <si>
    <t>Tạo chỉ mục toàn văn (full-text index)</t>
  </si>
  <si>
    <t>Không cần chỉ mục vì hệ thống đã dùng NoSQL</t>
  </si>
  <si>
    <t>Hệ thống thanh toán của bạn cần phát hiện các giao dịch gian lận (fraud) trong thời gian thực, ví dụ: một người dùng thực hiện 10 giao dịch liên tiếp trong 5 giây từ các địa chỉ IP khác nhau. Là người thiết kế CSDL, bạn sẽ chọn mô hình nào dưới đây để hỗ trợ phát hiện gian lận hiệu quả?</t>
  </si>
  <si>
    <t>Sử dụng các hệ thống hỗ trợ xử lý luồng dữ liệu (stream processing) ví dụ như Apache Kafka + Redis để phân tích hành vi theo thời gian thực</t>
  </si>
  <si>
    <t>Lưu toàn bộ giao dịch vào bảng quan hệ và chạy truy vấn SQL định kỳ</t>
  </si>
  <si>
    <t>Dùng trigger trong CSDL để kiểm tra mỗi khi có giao dịch mới</t>
  </si>
  <si>
    <t>Lưu dữ liệu vào bảng JSON và phân tích bằng script Python</t>
  </si>
  <si>
    <t>Hệ thống thanh toán phân tán của bạn đang hoạt động tại 3 trung tâm dữ liệu (A, B, C). Trung tâm A gặp sự cố mất điện. Một số giao dịch bị treo (pending) và không rõ trạng thái. Là kiến trúc sư, bạn cần đảm bảo tính khả dụng cao (high availability) và khôi phục trạng thái giao dịch chính xác. Giải pháp nào là phù hợp nhất?</t>
  </si>
  <si>
    <t>Dùng cơ chế 2-phase commit để đảm bảo giao dịch chỉ hoàn tất khi tất cả các node cùng xác nhận trạng thái</t>
  </si>
  <si>
    <t>Dùng cơ chế failover tự động sang trung tâm B và tiếp tục xử lý</t>
  </si>
  <si>
    <t>Ghi log giao dịch vào hệ thống lưu trữ ngoài (external durable log) trước khi commit</t>
  </si>
  <si>
    <t>Tạm dừng toàn bộ hệ thống để kiểm tra trạng thái giao dịch</t>
  </si>
  <si>
    <t>Một hệ thống phân tích dữ liệu lớn đang gặp hiện tượng trễ khi truy xuất báo cáo tổng hợp. Nguyên nhân được xác định do dữ liệu lưu trữ tại nhiều bảng không chuẩn hóa và thiếu chỉ mục phù hợp. Ngoài ra, dữ liệu được tải đồng thời từ các nguồn bên ngoài mà không có cơ chế phân vùng hay song song hóa. Anh/Chị cần đề xuất giải pháp để thiết kế lại cấu trúc dữ liệu nhằm cải thiện hiệu suất và khả năng mở rộng.</t>
  </si>
  <si>
    <t>Thiết kế lại CSDL theo hướng phân vùng dữ liệu theo thời gian và phân loại nghiệp vụ, bổ sung chỉ mục theo chiều phân tích, đồng thời dùng kiến trúc song song hóa để tăng tốc truy xuất</t>
  </si>
  <si>
    <t>Tập trung toàn bộ dữ liệu về một bảng chính có chỉ mục đầy đủ nhằm đơn giản hóa cấu trúc truy vấn, giảm độ trễ bằng cách hạn chế số lượng JOIN trong mỗi lần tổng hợp dữ liệu.</t>
  </si>
  <si>
    <t>Chuyển đổi toàn bộ cấu trúc quan hệ sang NoSQL như MongoDB để linh hoạt trong lưu trữ và loại bỏ nhu cầu chuẩn hóa, từ đó tăng tốc độ thao tác trên dữ liệu lớn.</t>
  </si>
  <si>
    <t>Tăng hiệu năng phần cứng của hệ thống như nâng cấp CPU và ổ SSD để xử lý lượng truy vấn lớn thay vì can thiệp vào thiết kế hoặc phân vùng lại cơ sở dữ liệu.</t>
  </si>
  <si>
    <t>Trong một dự án tích hợp dữ liệu liên ngân hàng, hệ thống phát sinh lỗi khi các giao dịch liên quan đến thẻ quốc tế được ghi vào CSDL. Lỗi xảy ra không thường xuyên nhưng gây sai lệch báo cáo tài chính do dữ liệu được định dạng khác với hệ thống nguồn. Phân tích cho thấy nguyên nhân đến từ thiết kế không đồng bộ chuẩn dữ liệu giữa các bảng và thiếu bước kiểm tra định dạng đầu vào. Anh/Chị cần đề xuất giải pháp để vừa sửa thiết kế vừa đảm bảo dữ liệu đầu vào đồng nhất trong tương lai.</t>
  </si>
  <si>
    <t>Chuẩn hóa lại cấu trúc bảng theo chuẩn ngành, bổ sung lớp kiểm tra định dạng đầu vào theo từng loại giao dịch, tích hợp log đối chiếu tự động theo phiên xử lý để đảm bảo toàn vẹn</t>
  </si>
  <si>
    <t>Tăng kích thước bộ nhớ lưu log và lưu giữ toàn bộ các giao dịch phát sinh lỗi để đối chiếu thủ công sau mỗi đợt xử lý nhằm hạn chế sai sót do khác định dạng.</t>
  </si>
  <si>
    <t>Tách toàn bộ giao dịch thẻ quốc tế sang một bảng riêng biệt và xử lý bằng bộ mã phân tích độc lập, không cần đối chiếu hay kiểm tra định dạng chung toàn hệ thống.</t>
  </si>
  <si>
    <t>Nới lỏng ràng buộc kiểm tra dữ liệu đầu vào để hệ thống linh hoạt chấp nhận nhiều định dạng khác nhau, sau đó dùng script chuẩn hóa sau khi lưu trữ.</t>
  </si>
  <si>
    <t>Đâu là rủi ro lớn nhất khi chỉ sử dụng incremental backup mà không có full backup định kỳ?</t>
  </si>
  <si>
    <t>Phục hồi dữ liệu mất nhiều thời gian và dễ lỗi</t>
  </si>
  <si>
    <t>Tăng chi phí lưu trữ</t>
  </si>
  <si>
    <t>Dễ bị tấn công mạng</t>
  </si>
  <si>
    <t>Không thể sao lưu dữ liệu lớn</t>
  </si>
  <si>
    <t>Kỹ thuật nào sau đây giúp phục hồi dữ liệu gần như tức thì trong trường hợp mất mát dữ liệu?</t>
  </si>
  <si>
    <t>Replication thời gian thực</t>
  </si>
  <si>
    <t>Full backup hàng tuần</t>
  </si>
  <si>
    <t>Incremental backup</t>
  </si>
  <si>
    <t>Snapshot định kỳ</t>
  </si>
  <si>
    <t>Mục tiêu quan trọng nhất trong việc sao lưu cơ sở dữ liệu định kỳ là gì?</t>
  </si>
  <si>
    <t>Đảm bảo khả năng phục hồi dữ liệu khi có sự cố, giảm thiểu mất mát thông tin</t>
  </si>
  <si>
    <t>Giúp tăng tốc độ truy vấn vì có thêm nhiều bản sao</t>
  </si>
  <si>
    <t>Giảm dung lượng lưu trữ chính bằng cách di chuyển dữ liệu</t>
  </si>
  <si>
    <t>Tối ưu hóa cấu trúc bảng để dễ mở rộng hệ thống</t>
  </si>
  <si>
    <t>Tại sao nên phân quyền truy cập trong hệ thống cơ sở dữ liệu?</t>
  </si>
  <si>
    <t>Giúp kiểm soát ai được phép đọc, ghi hoặc sửa dữ liệu, đảm bảo tính bảo mật</t>
  </si>
  <si>
    <t>Để tăng khả năng xử lý truy vấn đồng thời</t>
  </si>
  <si>
    <t>Giúp tránh lỗi phần cứng do quá nhiều kết nối</t>
  </si>
  <si>
    <t>Tối ưu tốc độ tải báo cáo</t>
  </si>
  <si>
    <t>Khi vận hành hệ thống nhiều CSDL nghiệp vụ, yếu tố nào giúp tối ưu khả năng giám sát hiệu suất?</t>
  </si>
  <si>
    <t>Tích hợp công cụ giám sát tập trung, theo dõi truy vấn chậm, cảnh báo bất thường về CPU và I/O</t>
  </si>
  <si>
    <t>Tách hẳn mỗi CSDL ra một máy chủ vật lý để đảm bảo cô lập tài nguyên</t>
  </si>
  <si>
    <t>Chuyển toàn bộ log truy vấn về file offline để xử lý sau</t>
  </si>
  <si>
    <t>Cài đặt lại hệ điều hành khi truy vấn chậm kéo dài</t>
  </si>
  <si>
    <t>Lý do nào cần thường xuyên kiểm tra tính toàn vẹn dữ liệu trong CSDL?</t>
  </si>
  <si>
    <t>Để phát hiện và xử lý kịp thời sai lệch do lỗi ghi, lỗi chương trình hoặc thao tác sai</t>
  </si>
  <si>
    <t>Để cải thiện tốc độ ghi dữ liệu bằng cách giảm số lượng chỉ mục</t>
  </si>
  <si>
    <t>Giúp người dùng không cần xác thực dữ liệu nhập vào</t>
  </si>
  <si>
    <t>Hạn chế truy cập từ xa vào hệ thống</t>
  </si>
  <si>
    <t>Trong Oracle, bạn thấy tablespace USERS sắp đầy. Cách xử lý nào sau đây là hợp lý nhất?</t>
  </si>
  <si>
    <t>Tăng kích thước file dữ liệu (.dbf) hoặc thêm file mới</t>
  </si>
  <si>
    <t>Xóa toàn bộ dữ liệu trong tablespace</t>
  </si>
  <si>
    <t>Tạo thêm chỉ mục cho các bảng trong tablespace</t>
  </si>
  <si>
    <t>Dừng toàn bộ hệ thống để giải phóng bộ nhớ</t>
  </si>
  <si>
    <t>Một hệ thống báo cáo giao dịch bị người dùng phản ánh về tính chậm và sai số liệu. Ghi nhận từ log cho thấy nhiều truy vấn đọc lớn thực hiện vào cùng thời điểm với batch cập nhật dữ liệu. Anh/Chị cần xử lý như thế nào để tối ưu hiệu năng và đảm bảo số liệu chính xác?</t>
  </si>
  <si>
    <t>Tách luồng cập nhật và truy vấn bằng kiến trúc đọc–ghi độc lập (read replica), đồng thời giới hạn thời điểm chạy batch vào khung giờ thấp tải</t>
  </si>
  <si>
    <t>Tạm ngưng quá trình cập nhật dữ liệu định kỳ trong giờ cao điểm để tập trung vào phục vụ truy vấn đọc, làm giảm rủi ro nghẽn nhưng mất tính toàn vẹn số liệu theo thời gian thực.</t>
  </si>
  <si>
    <t>Tăng cấu hình phần cứng hệ thống, đặc biệt là RAM và CPU, nhằm giảm độ trễ truy vấn thay vì tách riêng các tác vụ ghi và đọc dữ liệu để tối ưu luồng xử lý.</t>
  </si>
  <si>
    <t>Sử dụng một stored procedure tổng hợp để đồng bộ hóa cả truy vấn đọc và cập nhật dữ liệu, nhưng làm tăng độ phức tạp xử lý và khó phân chia tải hiệu quả giữa các tác vụ.</t>
  </si>
  <si>
    <t>Một hệ thống báo cáo giao dịch bị người dùng phản ánh về tính chậm và sai số liệu. Ghi nhận từ log cho thấy nhiều truy vấn đọc lớn thực hiện vào cùng thời điểm với xử lý batch cuối ngày trong cập nhật dữ liệu. Anh/Chị cần xử lý như thế nào để tối ưu hiệu năng và đảm bảo số liệu chính xác?</t>
  </si>
  <si>
    <t>Rà soát lại quy trình xử lý trong việc cập nhật và truy vấn/truy cập vào cơ sở dữ liệu</t>
  </si>
  <si>
    <t xml:space="preserve">Bổ sung cấu hình phần cứng để đảm bảo hiệu năng </t>
  </si>
  <si>
    <t>Đảm bảo tính toàn vẹn của dữ liệu khi đồng thời truy cập/xử lý</t>
  </si>
  <si>
    <t>Phân tán việc truy vấn tránh thực hiện vào cùng một thời điểm</t>
  </si>
  <si>
    <t>Một hệ thống giao dịch trực tuyến phản ánh chậm số dư tài khoản sau mỗi giao dịch. Kiểm tra cho thấy việc ghi dữ liệu không đồng bộ giữa bảng giao dịch và bảng số dư. Anh/Chị cần đề xuất giải pháp nào để đảm bảo dữ liệu phản hồi chính xác và kịp thời?</t>
  </si>
  <si>
    <t>Áp dụng giao dịch (transaction) kết hợp rollback khi lỗi, đồng thời đồng bộ ghi giữa các bảng qua trigger hoặc stored procedure</t>
  </si>
  <si>
    <t>Tách bảng số dư ra một server riêng biệt nhằm hạn chế tác động chéo giữa các bảng, tuy nhiên điều này không đảm bảo đồng bộ khi thiếu cơ chế kiểm soát giao dịch liên bảng.</t>
  </si>
  <si>
    <t>Ghi dữ liệu vào file tạm trong ổ đĩa phụ và đồng bộ định kỳ để tránh ảnh hưởng hệ thống chính, nhưng làm tăng độ trễ và rủi ro mất đồng nhất trong thời gian thực.</t>
  </si>
  <si>
    <t>Thực hiện cập nhật số dư định kỳ vào cuối ngày để tránh quá tải truy vấn, nhưng dẫn đến sai lệch tức thời và ảnh hưởng đến trải nghiệm giao dịch của người dùng.</t>
  </si>
  <si>
    <t>Một đợt nâng cấp hệ thống CSDL sau triển khai khiến toàn bộ truy vấn trở nên chậm đáng kể, đặc biệt là với các báo cáo tổng hợp nhiều bảng. Kiểm tra cho thấy cấu hình chỉ mục bị mất trong quá trình restore từ bản sao lưu cũ. Một số chức năng ghi mới cũng xung đột do thay đổi kiểu dữ liệu. Anh/Chị cần đề xuất giải pháp tổng thể để khắc phục tình trạng này và ngăn ngừa trong các đợt nâng cấp tiếp theo.</t>
  </si>
  <si>
    <t>Áp dụng quy trình backup–restore có kiểm định toàn vẹn, tái tạo chỉ mục sau phục hồi, kiểm thử tương thích dữ liệu và rà soát tất cả thay đổi cấu trúc trước khi nâng cấp chính thức</t>
  </si>
  <si>
    <t>Triển khai lại toàn bộ hệ thống từ đầu bằng bản phát hành mới để đảm bảo cấu hình chuẩn, tuy nhiên không đảm bảo dữ liệu cũ được phục hồi chính xác nếu không kiểm thử kỹ.</t>
  </si>
  <si>
    <t>Sử dụng CSDL trung gian để kiểm thử dữ liệu trước khi đẩy về hệ thống chính, giúp phát hiện lỗi tiềm ẩn nhưng kéo dài thời gian khôi phục và tăng độ phức tạp hệ thống.</t>
  </si>
  <si>
    <t>Tách hệ thống báo cáo ra khỏi hệ thống chính để người dùng sử dụng dữ liệu cũ, giúp duy trì truy cập nhưng không giải quyết được xung đột dữ liệu và chỉ mục đã mất.</t>
  </si>
  <si>
    <t>Một hệ thống thanh toán ngân hàng gặp lỗi nghiêm trọng vào ban đêm, khi hàng loạt giao dịch bị ghi trùng do tác vụ sao lưu chạy đồng thời với batch xử lý cuối ngày. Sự cố này không xảy ra thường xuyên nhưng đã gây ảnh hưởng tới kết quả đối soát. Log cho thấy một số lệnh ghi bị thực hiện lặp lại do lỗi cạnh tranh tài nguyên. Anh/Chị cần đề xuất giải pháp toàn diện để đảm bảo an toàn dữ liệu và tránh lỗi tương tự trong tương lai.</t>
  </si>
  <si>
    <t>Thiết lập cơ chế khóa đồng bộ và cách ly giao dịch theo phiên, điều phối tác vụ sao lưu/batch theo lịch phù hợp và bổ sung lớp kiểm tra dữ liệu ghi trùng dựa trên ID phiên</t>
  </si>
  <si>
    <t>Thay đổi lịch chạy batch sang giờ thấp điểm như sáng sớm để tránh va chạm với giao dịch ban đêm, tuy nhiên vẫn không xử lý được lỗi cạnh tranh nếu không kiểm soát theo phiên.</t>
  </si>
  <si>
    <t>Tạm ngừng các tác vụ sao lưu trong khoảng thời gian chạy batch để giảm tải hệ thống, nhưng không đảm bảo được tính liên tục và an toàn dữ liệu trong suốt quá trình vận hành.</t>
  </si>
  <si>
    <t>Xây dựng hệ thống dashboard theo dõi tác vụ batch và ghi log chi tiết sau mỗi lần xử lý nhằm phân tích nguyên nhân lỗi, nhưng chỉ xử lý hậu quả chứ không ngăn lỗi xảy ra.</t>
  </si>
  <si>
    <t>Công cụ trực quan hóa dữ liệu (BI tools) có vai trò gì trong khai thác dữ liệu?</t>
  </si>
  <si>
    <t>Giúp người dùng dễ dàng hiểu, phân tích và đưa ra quyết định từ dữ liệu thông qua biểu đồ, bảng tổng hợp</t>
  </si>
  <si>
    <t>Tạo ra các đoạn mã SQL để xử lý dữ liệu trong hệ thống</t>
  </si>
  <si>
    <t>Mã hóa dữ liệu để đảm bảo bảo mật khi truy xuất</t>
  </si>
  <si>
    <t>Tự động sao lưu dữ liệu trước khi phân tích</t>
  </si>
  <si>
    <t>Mục đích chính của việc khai thác dữ liệu trong hệ thống CNTT là gì?</t>
  </si>
  <si>
    <t>Hỗ trợ phân tích, ra quyết định và tạo báo cáo phục vụ vận hành và quản trị</t>
  </si>
  <si>
    <t>Lưu trữ toàn bộ thông tin người dùng vào một hệ thống riêng</t>
  </si>
  <si>
    <t>Tối ưu hóa mã nguồn của hệ thống ứng dụng</t>
  </si>
  <si>
    <t>Giảm chi phí phần cứng thông qua nén dữ liệu</t>
  </si>
  <si>
    <t>Để tạo báo cáo phân tích chính xác, cần thực hiện bước nào đầu tiên với dữ liệu nguồn?</t>
  </si>
  <si>
    <t>Làm sạch, chuẩn hóa và xác thực dữ liệu để đảm bảo tính chính xác và đầy đủ</t>
  </si>
  <si>
    <t>Nén dữ liệu trước khi phân tích để tiết kiệm tài nguyên</t>
  </si>
  <si>
    <t>Đưa dữ liệu về dạng bảng phẳng có nhiều cột để dễ trực quan</t>
  </si>
  <si>
    <t>Tách dữ liệu theo thời gian để hiển thị theo từng kỳ báo cáo</t>
  </si>
  <si>
    <t>Lý do cần kiểm soát quyền truy cập khi triển khai dashboard phân tích nội bộ là gì?</t>
  </si>
  <si>
    <t>Để giới hạn thông tin theo vai trò, tránh rò rỉ dữ liệu nhạy cảm và đảm bảo an toàn hệ thống</t>
  </si>
  <si>
    <t>Giúp mọi người có thể chia sẻ nhanh dữ liệu qua link ngoài</t>
  </si>
  <si>
    <t>Tăng tốc độ truy cập vì ít người dùng hơn</t>
  </si>
  <si>
    <t>Tối ưu hiển thị biểu đồ theo từng loại trình duyệt</t>
  </si>
  <si>
    <t>Một bộ báo cáo theo dõi KPI hoạt động của các phòng ban tại Napas bị phản ánh là chậm và không phản ánh đúng dữ liệu thực tế. Kiểm tra cho thấy dữ liệu gốc có độ trễ cập nhật và một số chỉ số không có công thức tính thống nhất. Anh/Chị cần đề xuất hướng cải tiến tổng thể để đảm bảo tính chính xác và thời gian phản hồi.</t>
  </si>
  <si>
    <t>Chuẩn hóa công thức tính KPI theo biểu mẫu được duyệt, tích hợp pipeline cập nhật dữ liệu định kỳ tự động và bổ sung cảnh báo khi dữ liệu bị thiếu hoặc trễ</t>
  </si>
  <si>
    <t>Chuyển toàn bộ báo cáo về định dạng Excel và kiểm tra công thức thủ công theo từng phòng ban, nhằm giảm độ phức tạp hệ thống nhưng dễ dẫn đến thiếu nhất quán và chậm cập nhật.</t>
  </si>
  <si>
    <t>Tạm dừng hoạt động của dashboard KPI và yêu cầu các bộ phận tự tổng hợp dữ liệu thủ công hàng tuần để kiểm tra độ lệch, nhưng giải pháp này thiếu kiểm soát tập trung và gây trễ phản hồi.</t>
  </si>
  <si>
    <t>Chuyển tần suất làm mới dữ liệu từ hàng ngày sang hàng tuần để hạn chế sai lệch dữ liệu do tải cao, nhưng điều này làm mất tính kịp thời và không giải quyết gốc rễ vấn đề dữ liệu lỗi.</t>
  </si>
  <si>
    <t>Một nhà quản lý yêu cầu xây dựng dashboard phân tích theo thời gian thực, nhưng dữ liệu hiện tại được tổng hợp theo batch cuối ngày. Anh/Chị cần đề xuất giải pháp để đáp ứng yêu cầu này mà không gây ảnh hưởng hiệu năng hệ thống nguồn.</t>
  </si>
  <si>
    <t>Thiết lập luồng ETL phân tán để trích xuất dữ liệu từng phần theo thời gian thực, kết hợp lưu trữ tạm và làm mới dashboard theo chu kỳ</t>
  </si>
  <si>
    <t>Tăng tần suất cập nhật dữ liệu từ một lần/ngày lên một lần/giờ để tiệm cận realtime, tuy nhiên gây áp lực lớn lên hệ thống nguồn và không xử lý được độ trễ do kết nối hoặc batch.</t>
  </si>
  <si>
    <t>Yêu cầu bộ phận kỹ thuật nâng cấp cấu hình máy chủ chính để đảm bảo truy vấn liên tục, nhưng không kiểm soát được hiệu suất khi có nhiều tác vụ đồng thời từ dashboard phân tích.</t>
  </si>
  <si>
    <t>Sao chép toàn bộ dữ liệu sang Google Sheet để cập nhật tạm thời theo thời gian thực, nhưng dễ gặp lỗi định dạng và không đảm bảo tính bảo mật hoặc khả năng xử lý dữ liệu lớn.</t>
  </si>
  <si>
    <t>Một hệ thống phân tích giao dịch phát hiện sai số giữa số liệu dashboard và dữ liệu đối soát. Sự cố xảy ra do dữ liệu bị thay đổi sau khi đã làm mới dashboard do không có cơ chế cố định snapshot. Việc này không xảy ra thường xuyên nhưng gây mất niềm tin của người dùng. Anh/Chị cần đề xuất hướng xử lý kỹ thuật và quy trình để đảm bảo tính toàn vẹn và độ tin cậy của dữ liệu báo cáo.</t>
  </si>
  <si>
    <t>Tích hợp cơ chế snapshot dữ liệu vào ETL, gắn mã phiên snapshot với mỗi báo cáo và cấm cập nhật sau thời điểm snapshot để đảm bảo đồng nhất báo cáo và nguồn gốc dữ liệu</t>
  </si>
  <si>
    <t>Gửi cảnh báo email cho người phụ trách dashboard mỗi khi dữ liệu được làm mới để tăng khả năng giám sát thủ công, nhưng không giúp bảo vệ tính toàn vẹn dữ liệu theo thời điểm snapshot.</t>
  </si>
  <si>
    <t>Chuyển dashboard sang chế độ tĩnh và yêu cầu cập nhật tay sau mỗi kỳ đối soát để tránh sai lệch, tuy nhiên làm giảm tính linh hoạt và không phù hợp với dữ liệu cập nhật liên tục.</t>
  </si>
  <si>
    <t>Xây dựng bảng điều khiển giám sát độ lệch giữa các bản cập nhật để cảnh báo lỗi sau khi phát sinh, nhưng không ngăn được lỗi gốc và khiến người dùng mất niềm tin do phát hiện chậm.</t>
  </si>
  <si>
    <t>Sau khi cập nhật hệ thống phân tích, dashboard KPI của lãnh đạo báo cáo số liệu sai so với kỳ vọng. Kiểm tra phát hiện chỉ số mới chưa được cập nhật đúng công thức và có sự chồng chéo giữa dữ liệu cũ và mới. Anh/Chị cần đề xuất quy trình kiểm soát để tránh tái diễn lỗi trong những lần cập nhật dashboard sau.</t>
  </si>
  <si>
    <t>Thiết lập quy trình duyệt công thức KPI trước khi cập nhật dashboard, gắn phiên bản công thức và dữ liệu, kiểm thử kết quả trên môi trường staging trước khi publish</t>
  </si>
  <si>
    <t>Cho phép cập nhật toàn bộ chỉ số KPI mới ngay khi có yêu cầu mà không cần kiểm thử, để đảm bảo dashboard luôn phản hồi nhanh, nhưng dễ dẫn tới lỗi logic và dữ liệu không đồng nhất.</t>
  </si>
  <si>
    <t>Xóa toàn bộ các chỉ số cũ và xây dựng lại dashboard từ đầu dựa trên dữ liệu mới nhất nhằm tránh nhầm lẫn, nhưng làm mất lịch sử so sánh và tăng nguy cơ lỗi do thiếu kiểm thử tổng thể.</t>
  </si>
  <si>
    <t>Phân công từng phòng ban tự kiểm tra các chỉ số KPI trong dashboard sau mỗi lần cập nhật, nếu có sai lệch thì báo lại cho bộ phận phân tích để điều chỉnh sau, nhưng thiếu kiểm soát đầu ra chuẩn hóa.</t>
  </si>
  <si>
    <t>P12 - QUẢN TRỊ VÀ KHAI THÁC DỮ LIỆU CÔNG NGHỆ THÔNG 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</si>
</sst>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0"/>
      <color theme="1"/>
      <name val="Arial"/>
      <family val="2"/>
    </font>
    <font>
      <sz val="10"/>
      <color rgb="FF000000"/>
      <name val="Arial"/>
      <family val="2"/>
    </font>
    <font>
      <sz val="11"/>
      <color theme="1"/>
      <name val="Arial"/>
      <family val="2"/>
    </font>
    <font>
      <sz val="10"/>
      <color theme="1"/>
      <name val="Arial"/>
      <family val="2"/>
    </font>
    <font>
      <sz val="10"/>
      <name val="Arial"/>
      <family val="2"/>
    </font>
    <font>
      <b/>
      <sz val="10"/>
      <color theme="0"/>
      <name val="Arial"/>
      <family val="2"/>
    </font>
    <font>
      <i/>
      <sz val="9"/>
      <color theme="1"/>
      <name val="Arial"/>
      <family val="2"/>
    </font>
    <font>
      <b/>
      <sz val="16"/>
      <color theme="1"/>
      <name val="Arial"/>
      <family val="2"/>
    </font>
    <font>
      <b/>
      <sz val="11"/>
      <color theme="1"/>
      <name val="Arial"/>
      <family val="2"/>
    </font>
    <font>
      <b/>
      <sz val="11"/>
      <color theme="0"/>
      <name val="Arial"/>
      <family val="2"/>
    </font>
  </fonts>
  <fills count="10">
    <fill>
      <patternFill patternType="none"/>
    </fill>
    <fill>
      <patternFill patternType="gray125"/>
    </fill>
    <fill>
      <patternFill patternType="solid">
        <fgColor theme="0" tint="-4.9989318521683403E-2"/>
        <bgColor indexed="64"/>
      </patternFill>
    </fill>
    <fill>
      <patternFill patternType="solid">
        <fgColor theme="3" tint="9.9978637043366805E-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3" tint="0.89999084444715716"/>
        <bgColor indexed="64"/>
      </patternFill>
    </fill>
  </fills>
  <borders count="3">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diagonalDown="1">
      <left style="thin">
        <color theme="2" tint="-0.249977111117893"/>
      </left>
      <right style="thin">
        <color theme="2" tint="-0.249977111117893"/>
      </right>
      <top style="thin">
        <color theme="2" tint="-0.249977111117893"/>
      </top>
      <bottom style="thin">
        <color theme="2" tint="-0.249977111117893"/>
      </bottom>
      <diagonal style="thin">
        <color theme="2" tint="-0.249977111117893"/>
      </diagonal>
    </border>
  </borders>
  <cellStyleXfs count="2">
    <xf numFmtId="0" fontId="0" fillId="0" borderId="0"/>
    <xf numFmtId="0" fontId="2" fillId="0" borderId="0"/>
  </cellStyleXfs>
  <cellXfs count="25">
    <xf numFmtId="0" fontId="0" fillId="0" borderId="0" xfId="0"/>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7" fillId="0" borderId="1" xfId="0" quotePrefix="1" applyFont="1" applyBorder="1" applyAlignment="1">
      <alignment horizontal="center" vertical="top" wrapText="1"/>
    </xf>
    <xf numFmtId="0" fontId="4" fillId="5" borderId="1" xfId="0" applyFont="1" applyFill="1" applyBorder="1" applyAlignment="1">
      <alignment vertical="top" wrapText="1"/>
    </xf>
    <xf numFmtId="0" fontId="6" fillId="6" borderId="1" xfId="0" applyFont="1" applyFill="1" applyBorder="1" applyAlignment="1">
      <alignment horizontal="center" vertical="top" wrapText="1"/>
    </xf>
    <xf numFmtId="0" fontId="4" fillId="0" borderId="1" xfId="0" quotePrefix="1" applyFont="1" applyBorder="1" applyAlignment="1">
      <alignment vertical="top" wrapText="1"/>
    </xf>
    <xf numFmtId="0" fontId="5" fillId="0" borderId="1" xfId="1" applyFont="1" applyBorder="1" applyAlignment="1" applyProtection="1">
      <alignment horizontal="left" vertical="top" wrapText="1"/>
      <protection locked="0"/>
    </xf>
    <xf numFmtId="0" fontId="4" fillId="8" borderId="1" xfId="0" quotePrefix="1" applyFont="1" applyFill="1" applyBorder="1" applyAlignment="1">
      <alignment vertical="top" wrapText="1"/>
    </xf>
    <xf numFmtId="0" fontId="4" fillId="8" borderId="1" xfId="0" applyFont="1" applyFill="1" applyBorder="1" applyAlignment="1">
      <alignment vertical="top" wrapText="1"/>
    </xf>
    <xf numFmtId="0" fontId="5" fillId="8" borderId="1" xfId="1" applyFont="1" applyFill="1" applyBorder="1" applyAlignment="1" applyProtection="1">
      <alignment horizontal="left" vertical="top" wrapText="1"/>
      <protection locked="0"/>
    </xf>
    <xf numFmtId="0" fontId="3" fillId="0" borderId="0" xfId="0" applyFont="1" applyAlignment="1">
      <alignment horizontal="center" vertical="top"/>
    </xf>
    <xf numFmtId="0" fontId="3" fillId="0" borderId="0" xfId="0" applyFont="1" applyAlignment="1">
      <alignment vertical="top"/>
    </xf>
    <xf numFmtId="0" fontId="8" fillId="0" borderId="0" xfId="0" applyFont="1" applyAlignment="1">
      <alignment horizontal="left" vertical="top"/>
    </xf>
    <xf numFmtId="0" fontId="7" fillId="0" borderId="0" xfId="0" applyFont="1" applyAlignment="1">
      <alignment vertical="top"/>
    </xf>
    <xf numFmtId="0" fontId="10" fillId="3" borderId="1" xfId="0" applyFont="1" applyFill="1" applyBorder="1" applyAlignment="1">
      <alignment horizontal="center" vertical="center" wrapText="1"/>
    </xf>
    <xf numFmtId="0" fontId="9" fillId="9" borderId="1" xfId="0" applyFont="1" applyFill="1" applyBorder="1" applyAlignment="1">
      <alignment horizontal="center" vertical="center"/>
    </xf>
    <xf numFmtId="0" fontId="6" fillId="3" borderId="2" xfId="0" applyFont="1" applyFill="1" applyBorder="1" applyAlignment="1">
      <alignment vertical="top" wrapText="1"/>
    </xf>
    <xf numFmtId="0" fontId="6"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4" fillId="0" borderId="1" xfId="0" applyFont="1" applyBorder="1" applyAlignment="1">
      <alignment horizontal="center" vertical="center"/>
    </xf>
    <xf numFmtId="0" fontId="6" fillId="4"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6" fillId="3" borderId="1" xfId="0" applyFont="1" applyFill="1" applyBorder="1" applyAlignment="1">
      <alignment horizontal="center" vertical="top" wrapText="1"/>
    </xf>
  </cellXfs>
  <cellStyles count="2">
    <cellStyle name="Normal" xfId="0" builtinId="0"/>
    <cellStyle name="Normal 2" xfId="1" xr:uid="{17F16F5E-965D-40AC-9573-37F3BFECD5A9}"/>
  </cellStyles>
  <dxfs count="1">
    <dxf>
      <fill>
        <patternFill>
          <bgColor rgb="FFFCF0B2"/>
        </patternFill>
      </fill>
    </dxf>
  </dxfs>
  <tableStyles count="0" defaultTableStyle="TableStyleMedium2" defaultPivotStyle="PivotStyleLight16"/>
  <colors>
    <mruColors>
      <color rgb="FFFCF0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C0B0-9D89-4729-AC6E-7F1010ED0730}">
  <dimension ref="B2:J113"/>
  <sheetViews>
    <sheetView showGridLines="0" tabSelected="1" zoomScale="70" zoomScaleNormal="70" workbookViewId="0">
      <selection activeCell="F15" sqref="F15"/>
    </sheetView>
  </sheetViews>
  <sheetFormatPr defaultColWidth="9" defaultRowHeight="14.25" outlineLevelRow="1" x14ac:dyDescent="0.25"/>
  <cols>
    <col min="1" max="1" width="2.85546875" style="13" customWidth="1"/>
    <col min="2" max="2" width="7.85546875" style="12" customWidth="1"/>
    <col min="3" max="3" width="9" style="12"/>
    <col min="4" max="4" width="23.42578125" style="13" customWidth="1"/>
    <col min="5" max="5" width="9" style="12"/>
    <col min="6" max="10" width="45.42578125" style="13" customWidth="1"/>
    <col min="11" max="11" width="9" style="13"/>
    <col min="12" max="12" width="12.7109375" style="13" customWidth="1"/>
    <col min="13" max="16384" width="9" style="13"/>
  </cols>
  <sheetData>
    <row r="2" spans="2:10" ht="26.25" customHeight="1" x14ac:dyDescent="0.25">
      <c r="B2" s="14" t="s">
        <v>190</v>
      </c>
    </row>
    <row r="3" spans="2:10" ht="10.35" customHeight="1" x14ac:dyDescent="0.25">
      <c r="B3" s="14"/>
    </row>
    <row r="4" spans="2:10" ht="31.5" customHeight="1" outlineLevel="1" x14ac:dyDescent="0.25">
      <c r="B4" s="14"/>
      <c r="D4" s="18" t="s">
        <v>10</v>
      </c>
      <c r="E4" s="19" t="s">
        <v>11</v>
      </c>
      <c r="F4" s="20">
        <v>1</v>
      </c>
      <c r="G4" s="20">
        <v>2</v>
      </c>
      <c r="H4" s="20">
        <v>3</v>
      </c>
    </row>
    <row r="5" spans="2:10" ht="20.100000000000001" customHeight="1" outlineLevel="1" x14ac:dyDescent="0.25">
      <c r="B5" s="14"/>
      <c r="D5" s="19" t="s">
        <v>11</v>
      </c>
      <c r="E5" s="16">
        <f>SUM(E6:E9)</f>
        <v>35</v>
      </c>
      <c r="F5" s="17">
        <f>SUM(F6:F9)</f>
        <v>15</v>
      </c>
      <c r="G5" s="17">
        <f t="shared" ref="G5:H5" si="0">SUM(G6:G9)</f>
        <v>12</v>
      </c>
      <c r="H5" s="17">
        <f t="shared" si="0"/>
        <v>8</v>
      </c>
    </row>
    <row r="6" spans="2:10" ht="20.100000000000001" customHeight="1" outlineLevel="1" x14ac:dyDescent="0.25">
      <c r="B6" s="14"/>
      <c r="D6" s="20">
        <v>1</v>
      </c>
      <c r="E6" s="17">
        <f>SUM(F6:H6)</f>
        <v>9</v>
      </c>
      <c r="F6" s="21">
        <f>COUNTIFS($E$13:$E$200,$D6,$C$13:$C$200,F$4)</f>
        <v>3</v>
      </c>
      <c r="G6" s="21">
        <f t="shared" ref="G6:H9" si="1">COUNTIFS($E$13:$E$200,$D6,$C$13:$C$200,G$4)</f>
        <v>4</v>
      </c>
      <c r="H6" s="21">
        <f t="shared" si="1"/>
        <v>2</v>
      </c>
    </row>
    <row r="7" spans="2:10" ht="20.100000000000001" customHeight="1" outlineLevel="1" x14ac:dyDescent="0.25">
      <c r="B7" s="14"/>
      <c r="D7" s="20">
        <v>2</v>
      </c>
      <c r="E7" s="17">
        <f t="shared" ref="E7:E9" si="2">SUM(F7:H7)</f>
        <v>9</v>
      </c>
      <c r="F7" s="21">
        <f t="shared" ref="F7:F9" si="3">COUNTIFS($E$13:$E$200,$D7,$C$13:$C$200,F$4)</f>
        <v>4</v>
      </c>
      <c r="G7" s="21">
        <f t="shared" si="1"/>
        <v>3</v>
      </c>
      <c r="H7" s="21">
        <f t="shared" si="1"/>
        <v>2</v>
      </c>
    </row>
    <row r="8" spans="2:10" ht="20.100000000000001" customHeight="1" outlineLevel="1" x14ac:dyDescent="0.25">
      <c r="B8" s="14"/>
      <c r="D8" s="20">
        <v>3</v>
      </c>
      <c r="E8" s="17">
        <f t="shared" si="2"/>
        <v>9</v>
      </c>
      <c r="F8" s="21">
        <f t="shared" si="3"/>
        <v>4</v>
      </c>
      <c r="G8" s="21">
        <f t="shared" si="1"/>
        <v>3</v>
      </c>
      <c r="H8" s="21">
        <f t="shared" si="1"/>
        <v>2</v>
      </c>
    </row>
    <row r="9" spans="2:10" ht="20.100000000000001" customHeight="1" outlineLevel="1" x14ac:dyDescent="0.25">
      <c r="B9" s="14"/>
      <c r="D9" s="20">
        <v>4</v>
      </c>
      <c r="E9" s="17">
        <f t="shared" si="2"/>
        <v>8</v>
      </c>
      <c r="F9" s="21">
        <f t="shared" si="3"/>
        <v>4</v>
      </c>
      <c r="G9" s="21">
        <f t="shared" si="1"/>
        <v>2</v>
      </c>
      <c r="H9" s="21">
        <f t="shared" si="1"/>
        <v>2</v>
      </c>
    </row>
    <row r="10" spans="2:10" ht="6.75" customHeight="1" x14ac:dyDescent="0.25"/>
    <row r="11" spans="2:10" ht="19.350000000000001" customHeight="1" x14ac:dyDescent="0.25">
      <c r="B11" s="24" t="s">
        <v>0</v>
      </c>
      <c r="C11" s="24" t="s">
        <v>1</v>
      </c>
      <c r="D11" s="24" t="s">
        <v>2</v>
      </c>
      <c r="E11" s="24" t="s">
        <v>3</v>
      </c>
      <c r="F11" s="22" t="s">
        <v>8</v>
      </c>
      <c r="G11" s="23" t="s">
        <v>9</v>
      </c>
      <c r="H11" s="23"/>
      <c r="I11" s="23"/>
      <c r="J11" s="23"/>
    </row>
    <row r="12" spans="2:10" ht="19.350000000000001" customHeight="1" x14ac:dyDescent="0.25">
      <c r="B12" s="24"/>
      <c r="C12" s="24"/>
      <c r="D12" s="24"/>
      <c r="E12" s="24"/>
      <c r="F12" s="22"/>
      <c r="G12" s="6" t="s">
        <v>4</v>
      </c>
      <c r="H12" s="6" t="s">
        <v>5</v>
      </c>
      <c r="I12" s="6" t="s">
        <v>6</v>
      </c>
      <c r="J12" s="6" t="s">
        <v>7</v>
      </c>
    </row>
    <row r="13" spans="2:10" s="15" customFormat="1" ht="12" x14ac:dyDescent="0.25">
      <c r="B13" s="4" t="str">
        <f t="shared" ref="B13:J13" si="4">"("&amp;COLUMN()-COLUMN($A$13)&amp;")"</f>
        <v>(1)</v>
      </c>
      <c r="C13" s="4" t="str">
        <f t="shared" si="4"/>
        <v>(2)</v>
      </c>
      <c r="D13" s="4" t="str">
        <f t="shared" si="4"/>
        <v>(3)</v>
      </c>
      <c r="E13" s="4" t="str">
        <f t="shared" si="4"/>
        <v>(4)</v>
      </c>
      <c r="F13" s="4" t="str">
        <f t="shared" si="4"/>
        <v>(5)</v>
      </c>
      <c r="G13" s="4" t="str">
        <f t="shared" si="4"/>
        <v>(6)</v>
      </c>
      <c r="H13" s="4" t="str">
        <f t="shared" si="4"/>
        <v>(7)</v>
      </c>
      <c r="I13" s="4" t="str">
        <f t="shared" si="4"/>
        <v>(8)</v>
      </c>
      <c r="J13" s="4" t="str">
        <f t="shared" si="4"/>
        <v>(9)</v>
      </c>
    </row>
    <row r="14" spans="2:10" ht="63.75" x14ac:dyDescent="0.25">
      <c r="B14" s="1">
        <f>ROW()-ROW($B$13)</f>
        <v>1</v>
      </c>
      <c r="C14" s="2">
        <v>1</v>
      </c>
      <c r="D14" s="3" t="s">
        <v>12</v>
      </c>
      <c r="E14" s="2">
        <v>1</v>
      </c>
      <c r="F14" s="5" t="s">
        <v>15</v>
      </c>
      <c r="G14" s="9" t="s">
        <v>16</v>
      </c>
      <c r="H14" s="7" t="s">
        <v>17</v>
      </c>
      <c r="I14" s="7" t="s">
        <v>18</v>
      </c>
      <c r="J14" s="7" t="s">
        <v>19</v>
      </c>
    </row>
    <row r="15" spans="2:10" ht="63.75" x14ac:dyDescent="0.25">
      <c r="B15" s="1">
        <f t="shared" ref="B15:B34" si="5">ROW()-ROW($B$13)</f>
        <v>2</v>
      </c>
      <c r="C15" s="2">
        <v>1</v>
      </c>
      <c r="D15" s="3" t="s">
        <v>12</v>
      </c>
      <c r="E15" s="2">
        <v>1</v>
      </c>
      <c r="F15" s="5" t="s">
        <v>20</v>
      </c>
      <c r="G15" s="10" t="s">
        <v>21</v>
      </c>
      <c r="H15" s="3" t="s">
        <v>22</v>
      </c>
      <c r="I15" s="3" t="s">
        <v>23</v>
      </c>
      <c r="J15" s="3" t="s">
        <v>24</v>
      </c>
    </row>
    <row r="16" spans="2:10" ht="63.75" x14ac:dyDescent="0.25">
      <c r="B16" s="1">
        <f t="shared" si="5"/>
        <v>3</v>
      </c>
      <c r="C16" s="2">
        <v>1</v>
      </c>
      <c r="D16" s="3" t="s">
        <v>12</v>
      </c>
      <c r="E16" s="2">
        <v>1</v>
      </c>
      <c r="F16" s="5" t="s">
        <v>25</v>
      </c>
      <c r="G16" s="10" t="s">
        <v>26</v>
      </c>
      <c r="H16" s="3" t="s">
        <v>27</v>
      </c>
      <c r="I16" s="3" t="s">
        <v>28</v>
      </c>
      <c r="J16" s="3" t="s">
        <v>29</v>
      </c>
    </row>
    <row r="17" spans="2:10" ht="63.75" x14ac:dyDescent="0.25">
      <c r="B17" s="1">
        <f t="shared" si="5"/>
        <v>4</v>
      </c>
      <c r="C17" s="2">
        <v>1</v>
      </c>
      <c r="D17" s="3" t="s">
        <v>12</v>
      </c>
      <c r="E17" s="2">
        <v>2</v>
      </c>
      <c r="F17" s="5" t="s">
        <v>30</v>
      </c>
      <c r="G17" s="10" t="s">
        <v>31</v>
      </c>
      <c r="H17" s="3" t="s">
        <v>32</v>
      </c>
      <c r="I17" s="3" t="s">
        <v>33</v>
      </c>
      <c r="J17" s="3" t="s">
        <v>34</v>
      </c>
    </row>
    <row r="18" spans="2:10" ht="63.75" x14ac:dyDescent="0.25">
      <c r="B18" s="1">
        <f t="shared" si="5"/>
        <v>5</v>
      </c>
      <c r="C18" s="2">
        <v>1</v>
      </c>
      <c r="D18" s="3" t="s">
        <v>12</v>
      </c>
      <c r="E18" s="2">
        <v>2</v>
      </c>
      <c r="F18" s="5" t="s">
        <v>35</v>
      </c>
      <c r="G18" s="10" t="s">
        <v>36</v>
      </c>
      <c r="H18" s="3" t="s">
        <v>37</v>
      </c>
      <c r="I18" s="3" t="s">
        <v>38</v>
      </c>
      <c r="J18" s="3" t="s">
        <v>39</v>
      </c>
    </row>
    <row r="19" spans="2:10" ht="102" x14ac:dyDescent="0.25">
      <c r="B19" s="1">
        <f t="shared" si="5"/>
        <v>6</v>
      </c>
      <c r="C19" s="2">
        <v>1</v>
      </c>
      <c r="D19" s="3" t="s">
        <v>12</v>
      </c>
      <c r="E19" s="2">
        <v>2</v>
      </c>
      <c r="F19" s="5" t="s">
        <v>40</v>
      </c>
      <c r="G19" s="10" t="s">
        <v>41</v>
      </c>
      <c r="H19" s="3" t="s">
        <v>42</v>
      </c>
      <c r="I19" s="3" t="s">
        <v>43</v>
      </c>
      <c r="J19" s="3" t="s">
        <v>44</v>
      </c>
    </row>
    <row r="20" spans="2:10" ht="63.75" x14ac:dyDescent="0.25">
      <c r="B20" s="1">
        <f t="shared" si="5"/>
        <v>7</v>
      </c>
      <c r="C20" s="2">
        <v>1</v>
      </c>
      <c r="D20" s="3" t="s">
        <v>12</v>
      </c>
      <c r="E20" s="2">
        <v>2</v>
      </c>
      <c r="F20" s="5" t="s">
        <v>45</v>
      </c>
      <c r="G20" s="10" t="s">
        <v>46</v>
      </c>
      <c r="H20" s="3" t="s">
        <v>47</v>
      </c>
      <c r="I20" s="3" t="s">
        <v>48</v>
      </c>
      <c r="J20" s="3" t="s">
        <v>49</v>
      </c>
    </row>
    <row r="21" spans="2:10" ht="76.5" x14ac:dyDescent="0.25">
      <c r="B21" s="1">
        <f t="shared" si="5"/>
        <v>8</v>
      </c>
      <c r="C21" s="2">
        <v>1</v>
      </c>
      <c r="D21" s="3" t="s">
        <v>12</v>
      </c>
      <c r="E21" s="2">
        <v>3</v>
      </c>
      <c r="F21" s="5" t="s">
        <v>50</v>
      </c>
      <c r="G21" s="10" t="s">
        <v>51</v>
      </c>
      <c r="H21" s="3" t="s">
        <v>52</v>
      </c>
      <c r="I21" s="3" t="s">
        <v>53</v>
      </c>
      <c r="J21" s="3" t="s">
        <v>54</v>
      </c>
    </row>
    <row r="22" spans="2:10" ht="63.75" x14ac:dyDescent="0.25">
      <c r="B22" s="1">
        <f t="shared" si="5"/>
        <v>9</v>
      </c>
      <c r="C22" s="2">
        <v>1</v>
      </c>
      <c r="D22" s="3" t="s">
        <v>12</v>
      </c>
      <c r="E22" s="2">
        <v>3</v>
      </c>
      <c r="F22" s="5" t="s">
        <v>55</v>
      </c>
      <c r="G22" s="11" t="s">
        <v>56</v>
      </c>
      <c r="H22" s="8" t="s">
        <v>57</v>
      </c>
      <c r="I22" s="8" t="s">
        <v>58</v>
      </c>
      <c r="J22" s="8" t="s">
        <v>59</v>
      </c>
    </row>
    <row r="23" spans="2:10" ht="63.75" x14ac:dyDescent="0.25">
      <c r="B23" s="1">
        <f t="shared" si="5"/>
        <v>10</v>
      </c>
      <c r="C23" s="2">
        <v>1</v>
      </c>
      <c r="D23" s="3" t="s">
        <v>12</v>
      </c>
      <c r="E23" s="2">
        <v>3</v>
      </c>
      <c r="F23" s="5" t="s">
        <v>60</v>
      </c>
      <c r="G23" s="11" t="s">
        <v>61</v>
      </c>
      <c r="H23" s="8" t="s">
        <v>62</v>
      </c>
      <c r="I23" s="8" t="s">
        <v>63</v>
      </c>
      <c r="J23" s="8" t="s">
        <v>64</v>
      </c>
    </row>
    <row r="24" spans="2:10" ht="63.75" x14ac:dyDescent="0.25">
      <c r="B24" s="1">
        <f t="shared" si="5"/>
        <v>11</v>
      </c>
      <c r="C24" s="2">
        <v>1</v>
      </c>
      <c r="D24" s="3" t="s">
        <v>12</v>
      </c>
      <c r="E24" s="2">
        <v>3</v>
      </c>
      <c r="F24" s="5" t="s">
        <v>65</v>
      </c>
      <c r="G24" s="11" t="s">
        <v>66</v>
      </c>
      <c r="H24" s="8" t="s">
        <v>67</v>
      </c>
      <c r="I24" s="8" t="s">
        <v>68</v>
      </c>
      <c r="J24" s="8" t="s">
        <v>69</v>
      </c>
    </row>
    <row r="25" spans="2:10" ht="76.5" x14ac:dyDescent="0.25">
      <c r="B25" s="1">
        <f t="shared" si="5"/>
        <v>12</v>
      </c>
      <c r="C25" s="2">
        <v>1</v>
      </c>
      <c r="D25" s="3" t="s">
        <v>12</v>
      </c>
      <c r="E25" s="2">
        <v>4</v>
      </c>
      <c r="F25" s="5" t="s">
        <v>70</v>
      </c>
      <c r="G25" s="11" t="s">
        <v>71</v>
      </c>
      <c r="H25" s="8" t="s">
        <v>72</v>
      </c>
      <c r="I25" s="8" t="s">
        <v>73</v>
      </c>
      <c r="J25" s="8" t="s">
        <v>74</v>
      </c>
    </row>
    <row r="26" spans="2:10" ht="89.25" x14ac:dyDescent="0.25">
      <c r="B26" s="1">
        <f t="shared" si="5"/>
        <v>13</v>
      </c>
      <c r="C26" s="2">
        <v>1</v>
      </c>
      <c r="D26" s="3" t="s">
        <v>12</v>
      </c>
      <c r="E26" s="2">
        <v>4</v>
      </c>
      <c r="F26" s="5" t="s">
        <v>75</v>
      </c>
      <c r="G26" s="10" t="s">
        <v>76</v>
      </c>
      <c r="H26" s="3" t="s">
        <v>77</v>
      </c>
      <c r="I26" s="3" t="s">
        <v>78</v>
      </c>
      <c r="J26" s="3" t="s">
        <v>79</v>
      </c>
    </row>
    <row r="27" spans="2:10" ht="114.75" x14ac:dyDescent="0.25">
      <c r="B27" s="1">
        <f t="shared" si="5"/>
        <v>14</v>
      </c>
      <c r="C27" s="2">
        <v>1</v>
      </c>
      <c r="D27" s="3" t="s">
        <v>12</v>
      </c>
      <c r="E27" s="2">
        <v>4</v>
      </c>
      <c r="F27" s="5" t="s">
        <v>80</v>
      </c>
      <c r="G27" s="10" t="s">
        <v>81</v>
      </c>
      <c r="H27" s="3" t="s">
        <v>82</v>
      </c>
      <c r="I27" s="3" t="s">
        <v>83</v>
      </c>
      <c r="J27" s="3" t="s">
        <v>84</v>
      </c>
    </row>
    <row r="28" spans="2:10" ht="127.5" x14ac:dyDescent="0.25">
      <c r="B28" s="1">
        <f t="shared" si="5"/>
        <v>15</v>
      </c>
      <c r="C28" s="2">
        <v>1</v>
      </c>
      <c r="D28" s="3" t="s">
        <v>12</v>
      </c>
      <c r="E28" s="2">
        <v>4</v>
      </c>
      <c r="F28" s="5" t="s">
        <v>85</v>
      </c>
      <c r="G28" s="10" t="s">
        <v>86</v>
      </c>
      <c r="H28" s="3" t="s">
        <v>87</v>
      </c>
      <c r="I28" s="3" t="s">
        <v>88</v>
      </c>
      <c r="J28" s="3" t="s">
        <v>89</v>
      </c>
    </row>
    <row r="29" spans="2:10" ht="63.75" x14ac:dyDescent="0.25">
      <c r="B29" s="1">
        <f t="shared" si="5"/>
        <v>16</v>
      </c>
      <c r="C29" s="2">
        <v>2</v>
      </c>
      <c r="D29" s="3" t="s">
        <v>13</v>
      </c>
      <c r="E29" s="2">
        <v>1</v>
      </c>
      <c r="F29" s="5" t="s">
        <v>90</v>
      </c>
      <c r="G29" s="10" t="s">
        <v>91</v>
      </c>
      <c r="H29" s="3" t="s">
        <v>92</v>
      </c>
      <c r="I29" s="3" t="s">
        <v>93</v>
      </c>
      <c r="J29" s="3" t="s">
        <v>94</v>
      </c>
    </row>
    <row r="30" spans="2:10" ht="63.75" x14ac:dyDescent="0.25">
      <c r="B30" s="1">
        <f t="shared" si="5"/>
        <v>17</v>
      </c>
      <c r="C30" s="2">
        <v>2</v>
      </c>
      <c r="D30" s="3" t="s">
        <v>13</v>
      </c>
      <c r="E30" s="2">
        <v>1</v>
      </c>
      <c r="F30" s="5" t="s">
        <v>95</v>
      </c>
      <c r="G30" s="10" t="s">
        <v>96</v>
      </c>
      <c r="H30" s="3" t="s">
        <v>97</v>
      </c>
      <c r="I30" s="3" t="s">
        <v>98</v>
      </c>
      <c r="J30" s="3" t="s">
        <v>99</v>
      </c>
    </row>
    <row r="31" spans="2:10" ht="63.75" x14ac:dyDescent="0.25">
      <c r="B31" s="1">
        <f t="shared" si="5"/>
        <v>18</v>
      </c>
      <c r="C31" s="2">
        <v>2</v>
      </c>
      <c r="D31" s="3" t="s">
        <v>13</v>
      </c>
      <c r="E31" s="2">
        <v>1</v>
      </c>
      <c r="F31" s="5" t="s">
        <v>100</v>
      </c>
      <c r="G31" s="10" t="s">
        <v>101</v>
      </c>
      <c r="H31" s="3" t="s">
        <v>102</v>
      </c>
      <c r="I31" s="3" t="s">
        <v>103</v>
      </c>
      <c r="J31" s="3" t="s">
        <v>104</v>
      </c>
    </row>
    <row r="32" spans="2:10" ht="63.75" x14ac:dyDescent="0.25">
      <c r="B32" s="1">
        <f t="shared" si="5"/>
        <v>19</v>
      </c>
      <c r="C32" s="2">
        <v>2</v>
      </c>
      <c r="D32" s="3" t="s">
        <v>13</v>
      </c>
      <c r="E32" s="2">
        <v>1</v>
      </c>
      <c r="F32" s="5" t="s">
        <v>105</v>
      </c>
      <c r="G32" s="9" t="s">
        <v>106</v>
      </c>
      <c r="H32" s="7" t="s">
        <v>107</v>
      </c>
      <c r="I32" s="7" t="s">
        <v>108</v>
      </c>
      <c r="J32" s="7" t="s">
        <v>109</v>
      </c>
    </row>
    <row r="33" spans="2:10" ht="63.75" x14ac:dyDescent="0.25">
      <c r="B33" s="1">
        <f t="shared" si="5"/>
        <v>20</v>
      </c>
      <c r="C33" s="2">
        <v>2</v>
      </c>
      <c r="D33" s="3" t="s">
        <v>13</v>
      </c>
      <c r="E33" s="2">
        <v>2</v>
      </c>
      <c r="F33" s="5" t="s">
        <v>110</v>
      </c>
      <c r="G33" s="10" t="s">
        <v>111</v>
      </c>
      <c r="H33" s="3" t="s">
        <v>112</v>
      </c>
      <c r="I33" s="3" t="s">
        <v>113</v>
      </c>
      <c r="J33" s="3" t="s">
        <v>114</v>
      </c>
    </row>
    <row r="34" spans="2:10" ht="63.75" x14ac:dyDescent="0.25">
      <c r="B34" s="1">
        <f t="shared" si="5"/>
        <v>21</v>
      </c>
      <c r="C34" s="2">
        <v>2</v>
      </c>
      <c r="D34" s="3" t="s">
        <v>13</v>
      </c>
      <c r="E34" s="2">
        <v>2</v>
      </c>
      <c r="F34" s="5" t="s">
        <v>115</v>
      </c>
      <c r="G34" s="10" t="s">
        <v>116</v>
      </c>
      <c r="H34" s="3" t="s">
        <v>117</v>
      </c>
      <c r="I34" s="3" t="s">
        <v>118</v>
      </c>
      <c r="J34" s="3" t="s">
        <v>119</v>
      </c>
    </row>
    <row r="35" spans="2:10" ht="63.75" x14ac:dyDescent="0.25">
      <c r="B35" s="1">
        <f>ROW()-ROW($B$13)</f>
        <v>22</v>
      </c>
      <c r="C35" s="2">
        <v>2</v>
      </c>
      <c r="D35" s="3" t="s">
        <v>13</v>
      </c>
      <c r="E35" s="2">
        <v>2</v>
      </c>
      <c r="F35" s="5" t="s">
        <v>120</v>
      </c>
      <c r="G35" s="9" t="s">
        <v>121</v>
      </c>
      <c r="H35" s="7" t="s">
        <v>122</v>
      </c>
      <c r="I35" s="7" t="s">
        <v>123</v>
      </c>
      <c r="J35" s="7" t="s">
        <v>124</v>
      </c>
    </row>
    <row r="36" spans="2:10" ht="76.5" x14ac:dyDescent="0.25">
      <c r="B36" s="1">
        <f t="shared" ref="B36:B55" si="6">ROW()-ROW($B$13)</f>
        <v>23</v>
      </c>
      <c r="C36" s="2">
        <v>2</v>
      </c>
      <c r="D36" s="3" t="s">
        <v>13</v>
      </c>
      <c r="E36" s="2">
        <v>3</v>
      </c>
      <c r="F36" s="5" t="s">
        <v>125</v>
      </c>
      <c r="G36" s="10" t="s">
        <v>126</v>
      </c>
      <c r="H36" s="3" t="s">
        <v>127</v>
      </c>
      <c r="I36" s="3" t="s">
        <v>128</v>
      </c>
      <c r="J36" s="3" t="s">
        <v>129</v>
      </c>
    </row>
    <row r="37" spans="2:10" ht="76.5" x14ac:dyDescent="0.25">
      <c r="B37" s="1">
        <f t="shared" si="6"/>
        <v>24</v>
      </c>
      <c r="C37" s="2">
        <v>2</v>
      </c>
      <c r="D37" s="3" t="s">
        <v>13</v>
      </c>
      <c r="E37" s="2">
        <v>3</v>
      </c>
      <c r="F37" s="5" t="s">
        <v>130</v>
      </c>
      <c r="G37" s="10" t="s">
        <v>131</v>
      </c>
      <c r="H37" s="3" t="s">
        <v>132</v>
      </c>
      <c r="I37" s="3" t="s">
        <v>133</v>
      </c>
      <c r="J37" s="3" t="s">
        <v>134</v>
      </c>
    </row>
    <row r="38" spans="2:10" ht="76.5" x14ac:dyDescent="0.25">
      <c r="B38" s="1">
        <f t="shared" si="6"/>
        <v>25</v>
      </c>
      <c r="C38" s="2">
        <v>2</v>
      </c>
      <c r="D38" s="3" t="s">
        <v>13</v>
      </c>
      <c r="E38" s="2">
        <v>3</v>
      </c>
      <c r="F38" s="5" t="s">
        <v>135</v>
      </c>
      <c r="G38" s="10" t="s">
        <v>136</v>
      </c>
      <c r="H38" s="3" t="s">
        <v>137</v>
      </c>
      <c r="I38" s="3" t="s">
        <v>138</v>
      </c>
      <c r="J38" s="3" t="s">
        <v>139</v>
      </c>
    </row>
    <row r="39" spans="2:10" ht="114.75" x14ac:dyDescent="0.25">
      <c r="B39" s="1">
        <f t="shared" si="6"/>
        <v>26</v>
      </c>
      <c r="C39" s="2">
        <v>2</v>
      </c>
      <c r="D39" s="3" t="s">
        <v>13</v>
      </c>
      <c r="E39" s="2">
        <v>4</v>
      </c>
      <c r="F39" s="5" t="s">
        <v>140</v>
      </c>
      <c r="G39" s="10" t="s">
        <v>141</v>
      </c>
      <c r="H39" s="3" t="s">
        <v>142</v>
      </c>
      <c r="I39" s="3" t="s">
        <v>143</v>
      </c>
      <c r="J39" s="3" t="s">
        <v>144</v>
      </c>
    </row>
    <row r="40" spans="2:10" ht="114.75" x14ac:dyDescent="0.25">
      <c r="B40" s="1">
        <f t="shared" si="6"/>
        <v>27</v>
      </c>
      <c r="C40" s="2">
        <v>2</v>
      </c>
      <c r="D40" s="3" t="s">
        <v>13</v>
      </c>
      <c r="E40" s="2">
        <v>4</v>
      </c>
      <c r="F40" s="5" t="s">
        <v>145</v>
      </c>
      <c r="G40" s="10" t="s">
        <v>146</v>
      </c>
      <c r="H40" s="3" t="s">
        <v>147</v>
      </c>
      <c r="I40" s="3" t="s">
        <v>148</v>
      </c>
      <c r="J40" s="3" t="s">
        <v>149</v>
      </c>
    </row>
    <row r="41" spans="2:10" ht="63.75" x14ac:dyDescent="0.25">
      <c r="B41" s="1">
        <f t="shared" si="6"/>
        <v>28</v>
      </c>
      <c r="C41" s="2">
        <v>3</v>
      </c>
      <c r="D41" s="3" t="s">
        <v>14</v>
      </c>
      <c r="E41" s="2">
        <v>1</v>
      </c>
      <c r="F41" s="5" t="s">
        <v>150</v>
      </c>
      <c r="G41" s="10" t="s">
        <v>151</v>
      </c>
      <c r="H41" s="3" t="s">
        <v>152</v>
      </c>
      <c r="I41" s="3" t="s">
        <v>153</v>
      </c>
      <c r="J41" s="3" t="s">
        <v>154</v>
      </c>
    </row>
    <row r="42" spans="2:10" ht="63.75" x14ac:dyDescent="0.25">
      <c r="B42" s="1">
        <f t="shared" si="6"/>
        <v>29</v>
      </c>
      <c r="C42" s="2">
        <v>3</v>
      </c>
      <c r="D42" s="3" t="s">
        <v>14</v>
      </c>
      <c r="E42" s="2">
        <v>1</v>
      </c>
      <c r="F42" s="5" t="s">
        <v>155</v>
      </c>
      <c r="G42" s="10" t="s">
        <v>156</v>
      </c>
      <c r="H42" s="3" t="s">
        <v>157</v>
      </c>
      <c r="I42" s="3" t="s">
        <v>158</v>
      </c>
      <c r="J42" s="3" t="s">
        <v>159</v>
      </c>
    </row>
    <row r="43" spans="2:10" ht="63.75" x14ac:dyDescent="0.25">
      <c r="B43" s="1">
        <f t="shared" si="6"/>
        <v>30</v>
      </c>
      <c r="C43" s="2">
        <v>3</v>
      </c>
      <c r="D43" s="3" t="s">
        <v>14</v>
      </c>
      <c r="E43" s="2">
        <v>2</v>
      </c>
      <c r="F43" s="5" t="s">
        <v>160</v>
      </c>
      <c r="G43" s="11" t="s">
        <v>161</v>
      </c>
      <c r="H43" s="8" t="s">
        <v>162</v>
      </c>
      <c r="I43" s="8" t="s">
        <v>163</v>
      </c>
      <c r="J43" s="8" t="s">
        <v>164</v>
      </c>
    </row>
    <row r="44" spans="2:10" ht="63.75" x14ac:dyDescent="0.25">
      <c r="B44" s="1">
        <f t="shared" si="6"/>
        <v>31</v>
      </c>
      <c r="C44" s="2">
        <v>3</v>
      </c>
      <c r="D44" s="3" t="s">
        <v>14</v>
      </c>
      <c r="E44" s="2">
        <v>2</v>
      </c>
      <c r="F44" s="5" t="s">
        <v>165</v>
      </c>
      <c r="G44" s="11" t="s">
        <v>166</v>
      </c>
      <c r="H44" s="8" t="s">
        <v>167</v>
      </c>
      <c r="I44" s="8" t="s">
        <v>168</v>
      </c>
      <c r="J44" s="8" t="s">
        <v>169</v>
      </c>
    </row>
    <row r="45" spans="2:10" ht="89.25" x14ac:dyDescent="0.25">
      <c r="B45" s="1">
        <f t="shared" si="6"/>
        <v>32</v>
      </c>
      <c r="C45" s="2">
        <v>3</v>
      </c>
      <c r="D45" s="3" t="s">
        <v>14</v>
      </c>
      <c r="E45" s="2">
        <v>3</v>
      </c>
      <c r="F45" s="5" t="s">
        <v>170</v>
      </c>
      <c r="G45" s="11" t="s">
        <v>171</v>
      </c>
      <c r="H45" s="8" t="s">
        <v>172</v>
      </c>
      <c r="I45" s="8" t="s">
        <v>173</v>
      </c>
      <c r="J45" s="8" t="s">
        <v>174</v>
      </c>
    </row>
    <row r="46" spans="2:10" ht="63.75" x14ac:dyDescent="0.25">
      <c r="B46" s="1">
        <f t="shared" si="6"/>
        <v>33</v>
      </c>
      <c r="C46" s="2">
        <v>3</v>
      </c>
      <c r="D46" s="3" t="s">
        <v>14</v>
      </c>
      <c r="E46" s="2">
        <v>3</v>
      </c>
      <c r="F46" s="5" t="s">
        <v>175</v>
      </c>
      <c r="G46" s="11" t="s">
        <v>176</v>
      </c>
      <c r="H46" s="8" t="s">
        <v>177</v>
      </c>
      <c r="I46" s="8" t="s">
        <v>178</v>
      </c>
      <c r="J46" s="8" t="s">
        <v>179</v>
      </c>
    </row>
    <row r="47" spans="2:10" ht="102" x14ac:dyDescent="0.25">
      <c r="B47" s="1">
        <f t="shared" si="6"/>
        <v>34</v>
      </c>
      <c r="C47" s="2">
        <v>3</v>
      </c>
      <c r="D47" s="3" t="s">
        <v>14</v>
      </c>
      <c r="E47" s="2">
        <v>4</v>
      </c>
      <c r="F47" s="5" t="s">
        <v>180</v>
      </c>
      <c r="G47" s="10" t="s">
        <v>181</v>
      </c>
      <c r="H47" s="3" t="s">
        <v>182</v>
      </c>
      <c r="I47" s="3" t="s">
        <v>183</v>
      </c>
      <c r="J47" s="3" t="s">
        <v>184</v>
      </c>
    </row>
    <row r="48" spans="2:10" ht="89.25" x14ac:dyDescent="0.25">
      <c r="B48" s="1">
        <f t="shared" si="6"/>
        <v>35</v>
      </c>
      <c r="C48" s="2">
        <v>3</v>
      </c>
      <c r="D48" s="3" t="s">
        <v>14</v>
      </c>
      <c r="E48" s="2">
        <v>4</v>
      </c>
      <c r="F48" s="5" t="s">
        <v>185</v>
      </c>
      <c r="G48" s="10" t="s">
        <v>186</v>
      </c>
      <c r="H48" s="3" t="s">
        <v>187</v>
      </c>
      <c r="I48" s="3" t="s">
        <v>188</v>
      </c>
      <c r="J48" s="3" t="s">
        <v>189</v>
      </c>
    </row>
    <row r="49" spans="2:10" x14ac:dyDescent="0.25">
      <c r="B49" s="1">
        <f t="shared" si="6"/>
        <v>36</v>
      </c>
      <c r="C49" s="2"/>
      <c r="D49" s="3"/>
      <c r="E49" s="2"/>
      <c r="F49" s="5"/>
      <c r="G49" s="10"/>
      <c r="H49" s="3"/>
      <c r="I49" s="3"/>
      <c r="J49" s="3"/>
    </row>
    <row r="50" spans="2:10" x14ac:dyDescent="0.25">
      <c r="B50" s="1">
        <f t="shared" si="6"/>
        <v>37</v>
      </c>
      <c r="C50" s="2"/>
      <c r="D50" s="3"/>
      <c r="E50" s="2"/>
      <c r="F50" s="5"/>
      <c r="G50" s="10"/>
      <c r="H50" s="3"/>
      <c r="I50" s="3"/>
      <c r="J50" s="3"/>
    </row>
    <row r="51" spans="2:10" x14ac:dyDescent="0.25">
      <c r="B51" s="1">
        <f t="shared" si="6"/>
        <v>38</v>
      </c>
      <c r="C51" s="2"/>
      <c r="D51" s="3"/>
      <c r="E51" s="2"/>
      <c r="F51" s="5"/>
      <c r="G51" s="10"/>
      <c r="H51" s="3"/>
      <c r="I51" s="3"/>
      <c r="J51" s="3"/>
    </row>
    <row r="52" spans="2:10" x14ac:dyDescent="0.25">
      <c r="B52" s="1">
        <f t="shared" si="6"/>
        <v>39</v>
      </c>
      <c r="C52" s="2"/>
      <c r="D52" s="3"/>
      <c r="E52" s="2"/>
      <c r="F52" s="5"/>
      <c r="G52" s="10"/>
      <c r="H52" s="3"/>
      <c r="I52" s="3"/>
      <c r="J52" s="3"/>
    </row>
    <row r="53" spans="2:10" x14ac:dyDescent="0.25">
      <c r="B53" s="1">
        <f t="shared" si="6"/>
        <v>40</v>
      </c>
      <c r="C53" s="2"/>
      <c r="D53" s="3"/>
      <c r="E53" s="2"/>
      <c r="F53" s="5"/>
      <c r="G53" s="9"/>
      <c r="H53" s="7"/>
      <c r="I53" s="7"/>
      <c r="J53" s="7"/>
    </row>
    <row r="54" spans="2:10" x14ac:dyDescent="0.25">
      <c r="B54" s="1">
        <f t="shared" si="6"/>
        <v>41</v>
      </c>
      <c r="C54" s="2"/>
      <c r="D54" s="3"/>
      <c r="E54" s="2"/>
      <c r="F54" s="5"/>
      <c r="G54" s="10"/>
      <c r="H54" s="3"/>
      <c r="I54" s="3"/>
      <c r="J54" s="3"/>
    </row>
    <row r="55" spans="2:10" x14ac:dyDescent="0.25">
      <c r="B55" s="1">
        <f t="shared" si="6"/>
        <v>42</v>
      </c>
      <c r="C55" s="2"/>
      <c r="D55" s="3"/>
      <c r="E55" s="2"/>
      <c r="F55" s="5"/>
      <c r="G55" s="10"/>
      <c r="H55" s="3"/>
      <c r="I55" s="3"/>
      <c r="J55" s="3"/>
    </row>
    <row r="56" spans="2:10" x14ac:dyDescent="0.25">
      <c r="B56" s="1">
        <f>ROW()-ROW($B$13)</f>
        <v>43</v>
      </c>
      <c r="C56" s="2"/>
      <c r="D56" s="3"/>
      <c r="E56" s="2"/>
      <c r="F56" s="5"/>
      <c r="G56" s="9"/>
      <c r="H56" s="7"/>
      <c r="I56" s="7"/>
      <c r="J56" s="7"/>
    </row>
    <row r="57" spans="2:10" x14ac:dyDescent="0.25">
      <c r="B57" s="1">
        <f t="shared" ref="B57:B76" si="7">ROW()-ROW($B$13)</f>
        <v>44</v>
      </c>
      <c r="C57" s="2"/>
      <c r="D57" s="3"/>
      <c r="E57" s="2"/>
      <c r="F57" s="5"/>
      <c r="G57" s="10"/>
      <c r="H57" s="3"/>
      <c r="I57" s="3"/>
      <c r="J57" s="3"/>
    </row>
    <row r="58" spans="2:10" x14ac:dyDescent="0.25">
      <c r="B58" s="1">
        <f t="shared" si="7"/>
        <v>45</v>
      </c>
      <c r="C58" s="2"/>
      <c r="D58" s="3"/>
      <c r="E58" s="2"/>
      <c r="F58" s="5"/>
      <c r="G58" s="10"/>
      <c r="H58" s="3"/>
      <c r="I58" s="3"/>
      <c r="J58" s="3"/>
    </row>
    <row r="59" spans="2:10" x14ac:dyDescent="0.25">
      <c r="B59" s="1">
        <f t="shared" si="7"/>
        <v>46</v>
      </c>
      <c r="C59" s="2"/>
      <c r="D59" s="3"/>
      <c r="E59" s="2"/>
      <c r="F59" s="5"/>
      <c r="G59" s="10"/>
      <c r="H59" s="3"/>
      <c r="I59" s="3"/>
      <c r="J59" s="3"/>
    </row>
    <row r="60" spans="2:10" x14ac:dyDescent="0.25">
      <c r="B60" s="1">
        <f t="shared" si="7"/>
        <v>47</v>
      </c>
      <c r="C60" s="2"/>
      <c r="D60" s="3"/>
      <c r="E60" s="2"/>
      <c r="F60" s="5"/>
      <c r="G60" s="10"/>
      <c r="H60" s="3"/>
      <c r="I60" s="3"/>
      <c r="J60" s="3"/>
    </row>
    <row r="61" spans="2:10" x14ac:dyDescent="0.25">
      <c r="B61" s="1">
        <f t="shared" si="7"/>
        <v>48</v>
      </c>
      <c r="C61" s="2"/>
      <c r="D61" s="3"/>
      <c r="E61" s="2"/>
      <c r="F61" s="5"/>
      <c r="G61" s="10"/>
      <c r="H61" s="3"/>
      <c r="I61" s="3"/>
      <c r="J61" s="3"/>
    </row>
    <row r="62" spans="2:10" x14ac:dyDescent="0.25">
      <c r="B62" s="1">
        <f t="shared" si="7"/>
        <v>49</v>
      </c>
      <c r="C62" s="2"/>
      <c r="D62" s="3"/>
      <c r="E62" s="2"/>
      <c r="F62" s="5"/>
      <c r="G62" s="10"/>
      <c r="H62" s="3"/>
      <c r="I62" s="3"/>
      <c r="J62" s="3"/>
    </row>
    <row r="63" spans="2:10" x14ac:dyDescent="0.25">
      <c r="B63" s="1">
        <f t="shared" si="7"/>
        <v>50</v>
      </c>
      <c r="C63" s="2"/>
      <c r="D63" s="3"/>
      <c r="E63" s="2"/>
      <c r="F63" s="5"/>
      <c r="G63" s="10"/>
      <c r="H63" s="3"/>
      <c r="I63" s="3"/>
      <c r="J63" s="3"/>
    </row>
    <row r="64" spans="2:10" x14ac:dyDescent="0.25">
      <c r="B64" s="1">
        <f t="shared" si="7"/>
        <v>51</v>
      </c>
      <c r="C64" s="2"/>
      <c r="D64" s="3"/>
      <c r="E64" s="2"/>
      <c r="F64" s="5"/>
      <c r="G64" s="11"/>
      <c r="H64" s="8"/>
      <c r="I64" s="8"/>
      <c r="J64" s="8"/>
    </row>
    <row r="65" spans="2:10" x14ac:dyDescent="0.25">
      <c r="B65" s="1">
        <f t="shared" si="7"/>
        <v>52</v>
      </c>
      <c r="C65" s="2"/>
      <c r="D65" s="3"/>
      <c r="E65" s="2"/>
      <c r="F65" s="5"/>
      <c r="G65" s="11"/>
      <c r="H65" s="8"/>
      <c r="I65" s="8"/>
      <c r="J65" s="8"/>
    </row>
    <row r="66" spans="2:10" x14ac:dyDescent="0.25">
      <c r="B66" s="1">
        <f t="shared" si="7"/>
        <v>53</v>
      </c>
      <c r="C66" s="2"/>
      <c r="D66" s="3"/>
      <c r="E66" s="2"/>
      <c r="F66" s="5"/>
      <c r="G66" s="11"/>
      <c r="H66" s="8"/>
      <c r="I66" s="8"/>
      <c r="J66" s="8"/>
    </row>
    <row r="67" spans="2:10" x14ac:dyDescent="0.25">
      <c r="B67" s="1">
        <f t="shared" si="7"/>
        <v>54</v>
      </c>
      <c r="C67" s="2"/>
      <c r="D67" s="3"/>
      <c r="E67" s="2"/>
      <c r="F67" s="5"/>
      <c r="G67" s="11"/>
      <c r="H67" s="8"/>
      <c r="I67" s="8"/>
      <c r="J67" s="8"/>
    </row>
    <row r="68" spans="2:10" x14ac:dyDescent="0.25">
      <c r="B68" s="1">
        <f t="shared" si="7"/>
        <v>55</v>
      </c>
      <c r="C68" s="2"/>
      <c r="D68" s="3"/>
      <c r="E68" s="2"/>
      <c r="F68" s="5"/>
      <c r="G68" s="10"/>
      <c r="H68" s="3"/>
      <c r="I68" s="3"/>
      <c r="J68" s="3"/>
    </row>
    <row r="69" spans="2:10" x14ac:dyDescent="0.25">
      <c r="B69" s="1">
        <f t="shared" si="7"/>
        <v>56</v>
      </c>
      <c r="C69" s="2"/>
      <c r="D69" s="3"/>
      <c r="E69" s="2"/>
      <c r="F69" s="5"/>
      <c r="G69" s="10"/>
      <c r="H69" s="3"/>
      <c r="I69" s="3"/>
      <c r="J69" s="3"/>
    </row>
    <row r="70" spans="2:10" x14ac:dyDescent="0.25">
      <c r="B70" s="1">
        <f t="shared" si="7"/>
        <v>57</v>
      </c>
      <c r="C70" s="2"/>
      <c r="D70" s="3"/>
      <c r="E70" s="2"/>
      <c r="F70" s="5"/>
      <c r="G70" s="10"/>
      <c r="H70" s="3"/>
      <c r="I70" s="3"/>
      <c r="J70" s="3"/>
    </row>
    <row r="71" spans="2:10" x14ac:dyDescent="0.25">
      <c r="B71" s="1">
        <f t="shared" si="7"/>
        <v>58</v>
      </c>
      <c r="C71" s="2"/>
      <c r="D71" s="3"/>
      <c r="E71" s="2"/>
      <c r="F71" s="5"/>
      <c r="G71" s="10"/>
      <c r="H71" s="3"/>
      <c r="I71" s="3"/>
      <c r="J71" s="3"/>
    </row>
    <row r="72" spans="2:10" x14ac:dyDescent="0.25">
      <c r="B72" s="1">
        <f t="shared" si="7"/>
        <v>59</v>
      </c>
      <c r="C72" s="2"/>
      <c r="D72" s="3"/>
      <c r="E72" s="2"/>
      <c r="F72" s="5"/>
      <c r="G72" s="10"/>
      <c r="H72" s="3"/>
      <c r="I72" s="3"/>
      <c r="J72" s="3"/>
    </row>
    <row r="73" spans="2:10" x14ac:dyDescent="0.25">
      <c r="B73" s="1">
        <f t="shared" si="7"/>
        <v>60</v>
      </c>
      <c r="C73" s="2"/>
      <c r="D73" s="3"/>
      <c r="E73" s="2"/>
      <c r="F73" s="5"/>
      <c r="G73" s="10"/>
      <c r="H73" s="3"/>
      <c r="I73" s="3"/>
      <c r="J73" s="3"/>
    </row>
    <row r="74" spans="2:10" x14ac:dyDescent="0.25">
      <c r="B74" s="1">
        <f t="shared" si="7"/>
        <v>61</v>
      </c>
      <c r="C74" s="2"/>
      <c r="D74" s="3"/>
      <c r="E74" s="2"/>
      <c r="F74" s="5"/>
      <c r="G74" s="9"/>
      <c r="H74" s="7"/>
      <c r="I74" s="7"/>
      <c r="J74" s="7"/>
    </row>
    <row r="75" spans="2:10" x14ac:dyDescent="0.25">
      <c r="B75" s="1">
        <f t="shared" si="7"/>
        <v>62</v>
      </c>
      <c r="C75" s="2"/>
      <c r="D75" s="3"/>
      <c r="E75" s="2"/>
      <c r="F75" s="5"/>
      <c r="G75" s="10"/>
      <c r="H75" s="3"/>
      <c r="I75" s="3"/>
      <c r="J75" s="3"/>
    </row>
    <row r="76" spans="2:10" x14ac:dyDescent="0.25">
      <c r="B76" s="1">
        <f t="shared" si="7"/>
        <v>63</v>
      </c>
      <c r="C76" s="2"/>
      <c r="D76" s="3"/>
      <c r="E76" s="2"/>
      <c r="F76" s="5"/>
      <c r="G76" s="10"/>
      <c r="H76" s="3"/>
      <c r="I76" s="3"/>
      <c r="J76" s="3"/>
    </row>
    <row r="77" spans="2:10" x14ac:dyDescent="0.25">
      <c r="B77" s="1">
        <f>ROW()-ROW($B$13)</f>
        <v>64</v>
      </c>
      <c r="C77" s="2"/>
      <c r="D77" s="3"/>
      <c r="E77" s="2"/>
      <c r="F77" s="5"/>
      <c r="G77" s="9"/>
      <c r="H77" s="7"/>
      <c r="I77" s="7"/>
      <c r="J77" s="7"/>
    </row>
    <row r="78" spans="2:10" x14ac:dyDescent="0.25">
      <c r="B78" s="1">
        <f t="shared" ref="B78:B113" si="8">ROW()-ROW($B$13)</f>
        <v>65</v>
      </c>
      <c r="C78" s="2"/>
      <c r="D78" s="3"/>
      <c r="E78" s="2"/>
      <c r="F78" s="5"/>
      <c r="G78" s="10"/>
      <c r="H78" s="3"/>
      <c r="I78" s="3"/>
      <c r="J78" s="3"/>
    </row>
    <row r="79" spans="2:10" x14ac:dyDescent="0.25">
      <c r="B79" s="1">
        <f t="shared" si="8"/>
        <v>66</v>
      </c>
      <c r="C79" s="2"/>
      <c r="D79" s="3"/>
      <c r="E79" s="2"/>
      <c r="F79" s="5"/>
      <c r="G79" s="10"/>
      <c r="H79" s="3"/>
      <c r="I79" s="3"/>
      <c r="J79" s="3"/>
    </row>
    <row r="80" spans="2:10" x14ac:dyDescent="0.25">
      <c r="B80" s="1">
        <f t="shared" si="8"/>
        <v>67</v>
      </c>
      <c r="C80" s="2"/>
      <c r="D80" s="3"/>
      <c r="E80" s="2"/>
      <c r="F80" s="5"/>
      <c r="G80" s="10"/>
      <c r="H80" s="3"/>
      <c r="I80" s="3"/>
      <c r="J80" s="3"/>
    </row>
    <row r="81" spans="2:10" x14ac:dyDescent="0.25">
      <c r="B81" s="1">
        <f t="shared" si="8"/>
        <v>68</v>
      </c>
      <c r="C81" s="2"/>
      <c r="D81" s="3"/>
      <c r="E81" s="2"/>
      <c r="F81" s="5"/>
      <c r="G81" s="10"/>
      <c r="H81" s="3"/>
      <c r="I81" s="3"/>
      <c r="J81" s="3"/>
    </row>
    <row r="82" spans="2:10" x14ac:dyDescent="0.25">
      <c r="B82" s="1">
        <f t="shared" si="8"/>
        <v>69</v>
      </c>
      <c r="C82" s="2"/>
      <c r="D82" s="3"/>
      <c r="E82" s="2"/>
      <c r="F82" s="5"/>
      <c r="G82" s="10"/>
      <c r="H82" s="3"/>
      <c r="I82" s="3"/>
      <c r="J82" s="3"/>
    </row>
    <row r="83" spans="2:10" x14ac:dyDescent="0.25">
      <c r="B83" s="1">
        <f t="shared" si="8"/>
        <v>70</v>
      </c>
      <c r="C83" s="2"/>
      <c r="D83" s="3"/>
      <c r="E83" s="2"/>
      <c r="F83" s="5"/>
      <c r="G83" s="10"/>
      <c r="H83" s="3"/>
      <c r="I83" s="3"/>
      <c r="J83" s="3"/>
    </row>
    <row r="84" spans="2:10" x14ac:dyDescent="0.25">
      <c r="B84" s="1">
        <f t="shared" si="8"/>
        <v>71</v>
      </c>
      <c r="C84" s="2"/>
      <c r="D84" s="3"/>
      <c r="E84" s="2"/>
      <c r="F84" s="5"/>
      <c r="G84" s="10"/>
      <c r="H84" s="3"/>
      <c r="I84" s="3"/>
      <c r="J84" s="3"/>
    </row>
    <row r="85" spans="2:10" x14ac:dyDescent="0.25">
      <c r="B85" s="1">
        <f t="shared" si="8"/>
        <v>72</v>
      </c>
      <c r="C85" s="2"/>
      <c r="D85" s="3"/>
      <c r="E85" s="2"/>
      <c r="F85" s="5"/>
      <c r="G85" s="11"/>
      <c r="H85" s="8"/>
      <c r="I85" s="8"/>
      <c r="J85" s="8"/>
    </row>
    <row r="86" spans="2:10" x14ac:dyDescent="0.25">
      <c r="B86" s="1">
        <f t="shared" si="8"/>
        <v>73</v>
      </c>
      <c r="C86" s="2"/>
      <c r="D86" s="3"/>
      <c r="E86" s="2"/>
      <c r="F86" s="5"/>
      <c r="G86" s="11"/>
      <c r="H86" s="8"/>
      <c r="I86" s="8"/>
      <c r="J86" s="8"/>
    </row>
    <row r="87" spans="2:10" x14ac:dyDescent="0.25">
      <c r="B87" s="1">
        <f t="shared" si="8"/>
        <v>74</v>
      </c>
      <c r="C87" s="2"/>
      <c r="D87" s="3"/>
      <c r="E87" s="2"/>
      <c r="F87" s="5"/>
      <c r="G87" s="11"/>
      <c r="H87" s="8"/>
      <c r="I87" s="8"/>
      <c r="J87" s="8"/>
    </row>
    <row r="88" spans="2:10" x14ac:dyDescent="0.25">
      <c r="B88" s="1">
        <f t="shared" si="8"/>
        <v>75</v>
      </c>
      <c r="C88" s="2"/>
      <c r="D88" s="3"/>
      <c r="E88" s="2"/>
      <c r="F88" s="5"/>
      <c r="G88" s="11"/>
      <c r="H88" s="8"/>
      <c r="I88" s="8"/>
      <c r="J88" s="8"/>
    </row>
    <row r="89" spans="2:10" x14ac:dyDescent="0.25">
      <c r="B89" s="1">
        <f t="shared" si="8"/>
        <v>76</v>
      </c>
      <c r="C89" s="2"/>
      <c r="D89" s="3"/>
      <c r="E89" s="2"/>
      <c r="F89" s="5"/>
      <c r="G89" s="10"/>
      <c r="H89" s="3"/>
      <c r="I89" s="3"/>
      <c r="J89" s="3"/>
    </row>
    <row r="90" spans="2:10" x14ac:dyDescent="0.25">
      <c r="B90" s="1">
        <f t="shared" si="8"/>
        <v>77</v>
      </c>
      <c r="C90" s="2"/>
      <c r="D90" s="3"/>
      <c r="E90" s="2"/>
      <c r="F90" s="5"/>
      <c r="G90" s="10"/>
      <c r="H90" s="3"/>
      <c r="I90" s="3"/>
      <c r="J90" s="3"/>
    </row>
    <row r="91" spans="2:10" x14ac:dyDescent="0.25">
      <c r="B91" s="1">
        <f t="shared" si="8"/>
        <v>78</v>
      </c>
      <c r="C91" s="2"/>
      <c r="D91" s="3"/>
      <c r="E91" s="2"/>
      <c r="F91" s="5"/>
      <c r="G91" s="10"/>
      <c r="H91" s="3"/>
      <c r="I91" s="3"/>
      <c r="J91" s="3"/>
    </row>
    <row r="92" spans="2:10" x14ac:dyDescent="0.25">
      <c r="B92" s="1">
        <f t="shared" si="8"/>
        <v>79</v>
      </c>
      <c r="C92" s="2"/>
      <c r="D92" s="3"/>
      <c r="E92" s="2"/>
      <c r="F92" s="5"/>
      <c r="G92" s="10"/>
      <c r="H92" s="3"/>
      <c r="I92" s="3"/>
      <c r="J92" s="3"/>
    </row>
    <row r="93" spans="2:10" x14ac:dyDescent="0.25">
      <c r="B93" s="1">
        <f t="shared" si="8"/>
        <v>80</v>
      </c>
      <c r="C93" s="2"/>
      <c r="D93" s="3"/>
      <c r="E93" s="2"/>
      <c r="F93" s="5"/>
      <c r="G93" s="10"/>
      <c r="H93" s="3"/>
      <c r="I93" s="3"/>
      <c r="J93" s="3"/>
    </row>
    <row r="94" spans="2:10" x14ac:dyDescent="0.25">
      <c r="B94" s="1">
        <f t="shared" si="8"/>
        <v>81</v>
      </c>
      <c r="C94" s="2"/>
      <c r="D94" s="3"/>
      <c r="E94" s="2"/>
      <c r="F94" s="5"/>
      <c r="G94" s="10"/>
      <c r="H94" s="3"/>
      <c r="I94" s="3"/>
      <c r="J94" s="3"/>
    </row>
    <row r="95" spans="2:10" x14ac:dyDescent="0.25">
      <c r="B95" s="1">
        <f t="shared" si="8"/>
        <v>82</v>
      </c>
      <c r="C95" s="2"/>
      <c r="D95" s="3"/>
      <c r="E95" s="2"/>
      <c r="F95" s="5"/>
      <c r="G95" s="9"/>
      <c r="H95" s="7"/>
      <c r="I95" s="7"/>
      <c r="J95" s="7"/>
    </row>
    <row r="96" spans="2:10" x14ac:dyDescent="0.25">
      <c r="B96" s="1">
        <f t="shared" si="8"/>
        <v>83</v>
      </c>
      <c r="C96" s="2"/>
      <c r="D96" s="3"/>
      <c r="E96" s="2"/>
      <c r="F96" s="5"/>
      <c r="G96" s="10"/>
      <c r="H96" s="3"/>
      <c r="I96" s="3"/>
      <c r="J96" s="3"/>
    </row>
    <row r="97" spans="2:10" x14ac:dyDescent="0.25">
      <c r="B97" s="1">
        <f t="shared" si="8"/>
        <v>84</v>
      </c>
      <c r="C97" s="2"/>
      <c r="D97" s="3"/>
      <c r="E97" s="2"/>
      <c r="F97" s="5"/>
      <c r="G97" s="10"/>
      <c r="H97" s="3"/>
      <c r="I97" s="3"/>
      <c r="J97" s="3"/>
    </row>
    <row r="98" spans="2:10" x14ac:dyDescent="0.25">
      <c r="B98" s="1">
        <f t="shared" si="8"/>
        <v>85</v>
      </c>
      <c r="C98" s="2"/>
      <c r="D98" s="3"/>
      <c r="E98" s="2"/>
      <c r="F98" s="5"/>
      <c r="G98" s="11"/>
      <c r="H98" s="8"/>
      <c r="I98" s="8"/>
      <c r="J98" s="8"/>
    </row>
    <row r="99" spans="2:10" x14ac:dyDescent="0.25">
      <c r="B99" s="1">
        <f t="shared" si="8"/>
        <v>86</v>
      </c>
      <c r="C99" s="2"/>
      <c r="D99" s="3"/>
      <c r="E99" s="2"/>
      <c r="F99" s="5"/>
      <c r="G99" s="11"/>
      <c r="H99" s="8"/>
      <c r="I99" s="8"/>
      <c r="J99" s="8"/>
    </row>
    <row r="100" spans="2:10" x14ac:dyDescent="0.25">
      <c r="B100" s="1">
        <f t="shared" si="8"/>
        <v>87</v>
      </c>
      <c r="C100" s="2"/>
      <c r="D100" s="3"/>
      <c r="E100" s="2"/>
      <c r="F100" s="5"/>
      <c r="G100" s="11"/>
      <c r="H100" s="8"/>
      <c r="I100" s="8"/>
      <c r="J100" s="8"/>
    </row>
    <row r="101" spans="2:10" x14ac:dyDescent="0.25">
      <c r="B101" s="1">
        <f t="shared" si="8"/>
        <v>88</v>
      </c>
      <c r="C101" s="2"/>
      <c r="D101" s="3"/>
      <c r="E101" s="2"/>
      <c r="F101" s="5"/>
      <c r="G101" s="10"/>
      <c r="H101" s="3"/>
      <c r="I101" s="3"/>
      <c r="J101" s="3"/>
    </row>
    <row r="102" spans="2:10" x14ac:dyDescent="0.25">
      <c r="B102" s="1">
        <f t="shared" si="8"/>
        <v>89</v>
      </c>
      <c r="C102" s="2"/>
      <c r="D102" s="3"/>
      <c r="E102" s="2"/>
      <c r="F102" s="5"/>
      <c r="G102" s="10"/>
      <c r="H102" s="3"/>
      <c r="I102" s="3"/>
      <c r="J102" s="3"/>
    </row>
    <row r="103" spans="2:10" x14ac:dyDescent="0.25">
      <c r="B103" s="1">
        <f t="shared" si="8"/>
        <v>90</v>
      </c>
      <c r="C103" s="2"/>
      <c r="D103" s="3"/>
      <c r="E103" s="2"/>
      <c r="F103" s="5"/>
      <c r="G103" s="10"/>
      <c r="H103" s="3"/>
      <c r="I103" s="3"/>
      <c r="J103" s="3"/>
    </row>
    <row r="104" spans="2:10" x14ac:dyDescent="0.25">
      <c r="B104" s="1">
        <f t="shared" si="8"/>
        <v>91</v>
      </c>
      <c r="C104" s="2"/>
      <c r="D104" s="3"/>
      <c r="E104" s="2"/>
      <c r="F104" s="5"/>
      <c r="G104" s="10"/>
      <c r="H104" s="3"/>
      <c r="I104" s="3"/>
      <c r="J104" s="3"/>
    </row>
    <row r="105" spans="2:10" x14ac:dyDescent="0.25">
      <c r="B105" s="1">
        <f t="shared" si="8"/>
        <v>92</v>
      </c>
      <c r="C105" s="2"/>
      <c r="D105" s="3"/>
      <c r="E105" s="2"/>
      <c r="F105" s="5"/>
      <c r="G105" s="10"/>
      <c r="H105" s="3"/>
      <c r="I105" s="3"/>
      <c r="J105" s="3"/>
    </row>
    <row r="106" spans="2:10" x14ac:dyDescent="0.25">
      <c r="B106" s="1">
        <f t="shared" si="8"/>
        <v>93</v>
      </c>
      <c r="C106" s="2"/>
      <c r="D106" s="3"/>
      <c r="E106" s="2"/>
      <c r="F106" s="5"/>
      <c r="G106" s="10"/>
      <c r="H106" s="3"/>
      <c r="I106" s="3"/>
      <c r="J106" s="3"/>
    </row>
    <row r="107" spans="2:10" x14ac:dyDescent="0.25">
      <c r="B107" s="1">
        <f t="shared" si="8"/>
        <v>94</v>
      </c>
      <c r="C107" s="2"/>
      <c r="D107" s="3"/>
      <c r="E107" s="2"/>
      <c r="F107" s="5"/>
      <c r="G107" s="9"/>
      <c r="H107" s="7"/>
      <c r="I107" s="7"/>
      <c r="J107" s="7"/>
    </row>
    <row r="108" spans="2:10" x14ac:dyDescent="0.25">
      <c r="B108" s="1">
        <f t="shared" si="8"/>
        <v>95</v>
      </c>
      <c r="C108" s="2"/>
      <c r="D108" s="3"/>
      <c r="E108" s="2"/>
      <c r="F108" s="5"/>
      <c r="G108" s="10"/>
      <c r="H108" s="3"/>
      <c r="I108" s="3"/>
      <c r="J108" s="3"/>
    </row>
    <row r="109" spans="2:10" x14ac:dyDescent="0.25">
      <c r="B109" s="1">
        <f t="shared" si="8"/>
        <v>96</v>
      </c>
      <c r="C109" s="2"/>
      <c r="D109" s="3"/>
      <c r="E109" s="2"/>
      <c r="F109" s="5"/>
      <c r="G109" s="10"/>
      <c r="H109" s="3"/>
      <c r="I109" s="3"/>
      <c r="J109" s="3"/>
    </row>
    <row r="110" spans="2:10" x14ac:dyDescent="0.25">
      <c r="B110" s="1">
        <f t="shared" si="8"/>
        <v>97</v>
      </c>
      <c r="C110" s="2"/>
      <c r="D110" s="3"/>
      <c r="E110" s="2"/>
      <c r="F110" s="5"/>
      <c r="G110" s="10"/>
      <c r="H110" s="3"/>
      <c r="I110" s="3"/>
      <c r="J110" s="3"/>
    </row>
    <row r="111" spans="2:10" x14ac:dyDescent="0.25">
      <c r="B111" s="1">
        <f t="shared" si="8"/>
        <v>98</v>
      </c>
      <c r="C111" s="2"/>
      <c r="D111" s="3"/>
      <c r="E111" s="2"/>
      <c r="F111" s="5"/>
      <c r="G111" s="9"/>
      <c r="H111" s="7"/>
      <c r="I111" s="7"/>
      <c r="J111" s="7"/>
    </row>
    <row r="112" spans="2:10" x14ac:dyDescent="0.25">
      <c r="B112" s="1">
        <f t="shared" si="8"/>
        <v>99</v>
      </c>
      <c r="C112" s="2"/>
      <c r="D112" s="3"/>
      <c r="E112" s="2"/>
      <c r="F112" s="5"/>
      <c r="G112" s="10"/>
      <c r="H112" s="3"/>
      <c r="I112" s="3"/>
      <c r="J112" s="3"/>
    </row>
    <row r="113" spans="2:10" x14ac:dyDescent="0.25">
      <c r="B113" s="1">
        <f t="shared" si="8"/>
        <v>100</v>
      </c>
      <c r="C113" s="2"/>
      <c r="D113" s="3"/>
      <c r="E113" s="2"/>
      <c r="F113" s="5"/>
      <c r="G113" s="10"/>
      <c r="H113" s="3"/>
      <c r="I113" s="3"/>
      <c r="J113" s="3"/>
    </row>
  </sheetData>
  <autoFilter ref="B13:M137" xr:uid="{B005C0B0-9D89-4729-AC6E-7F1010ED0730}"/>
  <mergeCells count="6">
    <mergeCell ref="F11:F12"/>
    <mergeCell ref="G11:J11"/>
    <mergeCell ref="B11:B12"/>
    <mergeCell ref="C11:C12"/>
    <mergeCell ref="D11:D12"/>
    <mergeCell ref="E11:E12"/>
  </mergeCells>
  <conditionalFormatting sqref="F6:H9">
    <cfRule type="expression" dxfId="0"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docMetadata/LabelInfo.xml><?xml version="1.0" encoding="utf-8"?>
<clbl:labelList xmlns:clbl="http://schemas.microsoft.com/office/2020/mipLabelMetadata">
  <clbl:label id="{732535c9-f902-4625-a19b-ab6863a159e8}" enabled="1" method="Privileged" siteId="{8bc01b57-838e-4194-982d-4c58278d0de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Nong Thi Huong</dc:creator>
  <cp:lastModifiedBy>Luan, Nguyen Thanh Luan</cp:lastModifiedBy>
  <cp:lastPrinted>2025-07-01T12:17:07Z</cp:lastPrinted>
  <dcterms:created xsi:type="dcterms:W3CDTF">2025-07-01T11:38:19Z</dcterms:created>
  <dcterms:modified xsi:type="dcterms:W3CDTF">2026-10-02T02:29:44Z</dcterms:modified>
</cp:coreProperties>
</file>