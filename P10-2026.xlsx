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hienvb\Downloads\"/>
    </mc:Choice>
  </mc:AlternateContent>
  <xr:revisionPtr revIDLastSave="0" documentId="13_ncr:1_{8158B3BD-02DB-4417-87EE-AE2D53F8D841}" xr6:coauthVersionLast="47" xr6:coauthVersionMax="47" xr10:uidLastSave="{00000000-0000-0000-0000-000000000000}"/>
  <bookViews>
    <workbookView xWindow="-110" yWindow="-110" windowWidth="19420" windowHeight="11500" firstSheet="1" activeTab="1" xr2:uid="{0A323993-6B0E-4465-9440-DABB234748ED}"/>
  </bookViews>
  <sheets>
    <sheet name="Sheet1" sheetId="2" state="hidden" r:id="rId1"/>
    <sheet name="P10_final" sheetId="1" r:id="rId2"/>
  </sheets>
  <definedNames>
    <definedName name="_xlnm._FilterDatabase" localSheetId="1" hidden="1">P10_final!$B$13:$M$71</definedName>
    <definedName name="_xlnm._FilterDatabase" localSheetId="0" hidden="1">Sheet1!$B$13:$M$137</definedName>
    <definedName name="_xlnm.Print_Area" localSheetId="1">P10_final!$B$1:$L$47</definedName>
    <definedName name="_xlnm.Print_Area" localSheetId="0">Sheet1!$B$1:$L$113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5" i="1" l="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14" i="1"/>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4" i="2"/>
  <c r="B113" i="2" l="1"/>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J13" i="2"/>
  <c r="I13" i="2"/>
  <c r="H13" i="2"/>
  <c r="G13" i="2"/>
  <c r="F13" i="2"/>
  <c r="E13" i="2"/>
  <c r="G8" i="2" s="1"/>
  <c r="D13" i="2"/>
  <c r="C13" i="2"/>
  <c r="B13" i="2"/>
  <c r="F9" i="2"/>
  <c r="H8" i="2"/>
  <c r="F7" i="2"/>
  <c r="H6" i="2"/>
  <c r="G7" i="2" l="1"/>
  <c r="E7" i="2" s="1"/>
  <c r="H7" i="2"/>
  <c r="H5" i="2" s="1"/>
  <c r="F6" i="2"/>
  <c r="F8" i="2"/>
  <c r="E8" i="2" s="1"/>
  <c r="G9" i="2"/>
  <c r="E9" i="2" s="1"/>
  <c r="H9" i="2"/>
  <c r="G6" i="2"/>
  <c r="E6" i="2" l="1"/>
  <c r="E5" i="2" s="1"/>
  <c r="F5" i="2"/>
  <c r="G5" i="2"/>
  <c r="B45" i="1" l="1"/>
  <c r="B44" i="1"/>
  <c r="B43" i="1"/>
  <c r="B42" i="1"/>
  <c r="B41" i="1"/>
  <c r="B20" i="1"/>
  <c r="B19" i="1"/>
  <c r="B18" i="1"/>
  <c r="B17" i="1"/>
  <c r="B16" i="1"/>
  <c r="B15" i="1"/>
  <c r="B14" i="1"/>
  <c r="B28" i="1"/>
  <c r="B27" i="1"/>
  <c r="B26" i="1"/>
  <c r="B25" i="1"/>
  <c r="B24" i="1"/>
  <c r="B23" i="1"/>
  <c r="B22" i="1"/>
  <c r="B21" i="1"/>
  <c r="B36" i="1"/>
  <c r="B35" i="1"/>
  <c r="B34" i="1"/>
  <c r="B33" i="1"/>
  <c r="B32" i="1"/>
  <c r="B31" i="1"/>
  <c r="B30" i="1"/>
  <c r="B29" i="1"/>
  <c r="B37" i="1"/>
  <c r="B38" i="1"/>
  <c r="B39" i="1"/>
  <c r="B40" i="1"/>
  <c r="B46" i="1"/>
  <c r="B47" i="1"/>
  <c r="C13" i="1"/>
  <c r="D13" i="1"/>
  <c r="E13" i="1"/>
  <c r="F13" i="1"/>
  <c r="G13" i="1"/>
  <c r="H13" i="1"/>
  <c r="I13" i="1"/>
  <c r="J13" i="1"/>
  <c r="B13" i="1"/>
  <c r="F9" i="1" l="1"/>
  <c r="G9" i="1"/>
  <c r="H9" i="1"/>
  <c r="H8" i="1"/>
  <c r="F7" i="1"/>
  <c r="G7" i="1"/>
  <c r="H7" i="1"/>
  <c r="F8" i="1"/>
  <c r="G8" i="1"/>
  <c r="F6" i="1"/>
  <c r="G6" i="1"/>
  <c r="H6" i="1"/>
  <c r="E9" i="1" l="1"/>
  <c r="E8" i="1"/>
  <c r="E7" i="1"/>
  <c r="H5" i="1"/>
  <c r="G5" i="1"/>
  <c r="F5" i="1"/>
  <c r="E6" i="1"/>
  <c r="E5" i="1" l="1"/>
</calcChain>
</file>

<file path=xl/sharedStrings.xml><?xml version="1.0" encoding="utf-8"?>
<sst xmlns="http://schemas.openxmlformats.org/spreadsheetml/2006/main" count="669" uniqueCount="365">
  <si>
    <t>STT</t>
  </si>
  <si>
    <t>Mã khía cạnh</t>
  </si>
  <si>
    <t>Khía cạnh</t>
  </si>
  <si>
    <t>Cấp độ</t>
  </si>
  <si>
    <t>Đáp án đúng</t>
  </si>
  <si>
    <t>Phương án sai  1</t>
  </si>
  <si>
    <t>Phương án sai 2</t>
  </si>
  <si>
    <t>Phương án sai 3</t>
  </si>
  <si>
    <t>Câu hỏi</t>
  </si>
  <si>
    <t>Đáp án</t>
  </si>
  <si>
    <t xml:space="preserve">                        Khía cạnh
   Cấp độ                    </t>
  </si>
  <si>
    <t>TỔNG</t>
  </si>
  <si>
    <t>Hiểu biết về hệ thống hoặc cấu phần hệ thống/giải pháp được giao quản trị/vận hành/phát triển:
Phân tích xu hướng, tính ứng dụng và tác động công nghệ mới.</t>
  </si>
  <si>
    <t>Anh/Chị cần tìm hiểu thông tin gì đầu tiên khi bắt đầu đánh giá một giải pháp công nghệ mới trong tổ chức?</t>
  </si>
  <si>
    <t>Chức năng chính, phạm vi ứng dụng và tác động đến hệ thống hiện tại</t>
  </si>
  <si>
    <t>Thông số kỹ thuật phần cứng chi tiết và mô tả giao diện điều khiển hệ thống</t>
  </si>
  <si>
    <t>Danh sách các công nghệ tương tự từng được triển khai trong ngành tài chính</t>
  </si>
  <si>
    <t>Chi tiết hợp đồng bảo trì phần mềm từ nhà cung cấp dịch vụ trong 3 năm gần nhất</t>
  </si>
  <si>
    <t>Anh/Chị được giao tìm hiểu về một giải pháp thanh toán điện tử mới sẽ tích hợp vào hệ thống hiện hành. Hoạt động nào dưới đây là bước khởi đầu phù hợp nhất?</t>
  </si>
  <si>
    <t>Thu thập tài liệu mô tả hệ thống, khảo sát người dùng và tìm hiểu mô hình triển khai</t>
  </si>
  <si>
    <t>Tiến hành tạo dữ liệu kiểm thử và mô phỏng kết quả báo cáo kinh doanh</t>
  </si>
  <si>
    <t>Thực hiện phỏng vấn nhân sự quản lý tài chính để đánh giá mức độ đầu tư</t>
  </si>
  <si>
    <t>Tổ chức hội thảo đánh giá cảm nhận của người dùng về giao diện</t>
  </si>
  <si>
    <t>Khi một chuyên viên thực hiện "Khám phá công nghệ" bằng cách "tìm hiểu và nghiên cứu các công nghệ mới", họ nên tập trung vào khía cạnh nào đầu tiên để có thể "xác định khả năng ứng dụng cơ bản"?</t>
  </si>
  <si>
    <t>Đặc điểm cốt lõi của công nghệ và cách nó có thể giải quyết một vấn đề đơn giản cụ thể trong tổ chức.</t>
  </si>
  <si>
    <t>Mục tiêu chính của việc "xác định khả năng ứng dụng cơ bản trong tổ chức" khi một chuyên viên thực hiện "Khám phá công nghệ" là gì?</t>
  </si>
  <si>
    <t>Đánh giá sơ bộ liệu công nghệ có tiềm năng giải quyết một vấn đề cụ thể hoặc mang lại lợi ích nào đó cho tổ chức ở quy mô nhỏ hay không.</t>
  </si>
  <si>
    <t>Trong thiết kế hệ thống thông tin, mục tiêu chính của thiết kế logic là gì?
A. Xác định phần cứng cần sử dụng
B. Mô tả cách hệ thống sẽ được triển khai thực tế
C. Xác định các chức năng và luồng dữ liệu mà hệ thống cần xử lý
D. Lập kế hoạch ngân sách cho dự án</t>
  </si>
  <si>
    <t>Xác định các chức năng và luồng dữ liệu mà hệ thống cần xử lý</t>
  </si>
  <si>
    <t>Xác định phần cứng cần sử dụng</t>
  </si>
  <si>
    <t>Mô tả cách hệ thống sẽ được triển khai thực tế</t>
  </si>
  <si>
    <t>Lập kế hoạch ngân sách cho dự án</t>
  </si>
  <si>
    <t>Trong thiết kế kiến trúc hệ thống, mô hình kiến trúc 3 lớp (Three-tier architecture) bao gồm những thành phần nào?
A. Giao diện người dùng, cơ sở dữ liệu, phần cứng
B. Lớp trình bày, lớp nghiệp vụ, lớp dữ liệu
C. Máy chủ, máy trạm, mạng LAN
D. Frontend, Backend, API Gateway</t>
  </si>
  <si>
    <t>Lớp trình bày, lớp nghiệp vụ, lớp dữ liệu</t>
  </si>
  <si>
    <t>Giao diện người dùng, cơ sở dữ liệu, phần cứng</t>
  </si>
  <si>
    <t>Máy chủ, máy trạm, mạng LAN</t>
  </si>
  <si>
    <t>Frontend, Backend, API Gateway</t>
  </si>
  <si>
    <t>Anh/Chị đang lựa chọn giữa hai công nghệ có chức năng tương tự để ứng dụng trong hệ thống CNTT hiện tại. Cách tiếp cận nào sau đây là phù hợp nhất?</t>
  </si>
  <si>
    <t>So sánh về tính năng, khả năng mở rộng, hỗ trợ kỹ thuật và chi phí vận hành</t>
  </si>
  <si>
    <t>Chọn nền tảng có báo cáo phân tích xu hướng thị trường nổi bật hơn</t>
  </si>
  <si>
    <t>Ưu tiên bên nào cung cấp bảng giá thấp hơn ở giai đoạn đầu triển khai</t>
  </si>
  <si>
    <t>Lựa chọn dựa trên mức độ tương thích với hệ thống bảo mật hiện tại một cách sơ bộ</t>
  </si>
  <si>
    <t xml:space="preserve">Anh/Chị đang lựa chọn giữa hai công nghệ có chức năng tương tự để ứng dụng trong hệ thống CNTT hiện tại. Cách tiếp cận nào sau đây là phù hợp nhất?
</t>
  </si>
  <si>
    <t>So sánh khả năng tương thích, hiệu suất và hỗ trợ lâu dài với hệ thống hiện tại</t>
  </si>
  <si>
    <t>Chọn công nghệ mới hơn để đón đầu xu hướng</t>
  </si>
  <si>
    <t>Ưu tiên giải pháp có chi phí thấp hơn</t>
  </si>
  <si>
    <t>Lựa chọn theo khuyến nghị của nhà cung cấp phần cứng</t>
  </si>
  <si>
    <t>Bạn đang thiết kế một hệ thống thương mại điện tử có lượng truy cập cao vào các dịp khuyến mãi. Là kiến trúc sư hệ thống, bạn cần đảm bảo hệ thống có thể mở rộng linh hoạt và không bị gián đoạn. Giải pháp nào sau đây là tối ưu nhất?
A. Sử dụng một máy chủ vật lý cấu hình cao để xử lý toàn bộ lưu lượng
B. Thiết kế hệ thống theo mô hình microservices kết hợp với auto-scaling và CDN
C. Tăng dung lượng RAM và CPU cho cơ sở dữ liệu chính
D. Tối ưu hóa giao diện người dùng để giảm số lượng request</t>
  </si>
  <si>
    <t>Thiết kế hệ thống theo mô hình microservices kết hợp với auto-scaling và CDN</t>
  </si>
  <si>
    <t>Sử dụng một máy chủ vật lý cấu hình cao để xử lý toàn bộ lưu lượng</t>
  </si>
  <si>
    <t>Tăng dung lượng RAM và CPU cho cơ sở dữ liệu chính</t>
  </si>
  <si>
    <t>Tối ưu hóa giao diện người dùng để giảm số lượng request</t>
  </si>
  <si>
    <t>Để "Đánh giá tác động của công nghệ mới tới quy trình và hiệu quả hoạt động" một cách hiệu quả, chuyên viên cần phân tích kỹ khía cạnh nào của các quy trình nghiệp vụ hiện tại?</t>
  </si>
  <si>
    <t>Các điểm trong quy trình có thể được tự động hóa, các bước có thể được rút ngắn thời gian, hoặc các điểm nghẽn có thể được cải thiện bởi công nghệ mới.</t>
  </si>
  <si>
    <t xml:space="preserve">Trong kiến trúc hướng dịch vụ (SOA), thành phần nào chịu trách nhiệm điều phối các dịch vụ để thực hiện một quy trình nghiệp vụ phức tạp?
</t>
  </si>
  <si>
    <t>Service Orchestrator</t>
  </si>
  <si>
    <t>Service Registry</t>
  </si>
  <si>
    <t>Service Consumer</t>
  </si>
  <si>
    <t>Service Provider</t>
  </si>
  <si>
    <t>Trong quá trình đánh giá một công nghệ mới cho tổ chức, đâu là yếu tố quan trọng nhất cần chú trọng để đảm bảo khả năng triển khai thành công và vận hành ổn định?</t>
  </si>
  <si>
    <t>Tính phù hợp với mục tiêu kinh doanh và chiến lược phát triển của tổ chức, đồng thời đảm bảo khả năng tích hợp với hệ thống hiện có và có đủ nguồn lực (nhân sự, tài chính, kỹ thuật) để triển khai và duy trì.</t>
  </si>
  <si>
    <t xml:space="preserve">Trong quá trình đánh giá một công nghệ mới cho tổ chức, đâu là yếu tố quan trọng nhất cần chú trọng để đảm bảo khả năng triển khai thành công và vận hành ổn định?
</t>
  </si>
  <si>
    <t>Đánh giá tác động của công nghệ mới tới các hoạt động, hệ thống hiện tại</t>
  </si>
  <si>
    <t>Nghiên cứu chi tiết công nghệ mới</t>
  </si>
  <si>
    <t>Triển khai công nghệ mới</t>
  </si>
  <si>
    <t xml:space="preserve">Trong quá trình đánh giá một công nghệ mới cho tổ chức, đâu là yếu tố quan trọng nhất cần chú trọng để đảm bảo khả năng triển khai thành công và vận hành ổn định?
</t>
  </si>
  <si>
    <t>Khả năng tích hợp với hệ thống hiện có và mức độ ổn định</t>
  </si>
  <si>
    <t>Chi phí bản quyền và bảo trì hàng năm</t>
  </si>
  <si>
    <t>Giao diện thân thiện với người dùng cuối</t>
  </si>
  <si>
    <t>Độ phổ biến của công nghệ trên thị trường</t>
  </si>
  <si>
    <t>Trong việc "Thiết kế kiến trúc CNTT", khi thực hiện "Phân tích phù hợp" bằng cách "Đánh giá tác động của công nghệ mới tới quy trình và hiệu quả hoạt động", chuyên viên cần tập trung làm rõ điều gì?</t>
  </si>
  <si>
    <t>Những thay đổi cụ thể trong cách thức thực hiện công việc và những lợi ích hoặc hạn chế có thể đo lường được mà công nghệ mang lại cho hiệu suất.</t>
  </si>
  <si>
    <t>Để thực hiện "So sánh và lựa chọn" công nghệ một cách hiệu quả, chuyên viên cần tập trung vào việc đánh giá "tác động của công nghệ" như thế nào?</t>
  </si>
  <si>
    <t>Xem xét những ảnh hưởng tiềm tàng của công nghệ đến các khía cạnh vận hành, tài chính, chiến lược và văn hóa của tổ chức, cả tích cực lẫn tiêu cực.</t>
  </si>
  <si>
    <t>Napas dự kiến triển khai nền tảng thanh toán sử dụng kiến trúc microservice, yêu cầu tích hợp với hệ thống lõi hiện tại và chỉ hỗ trợ giao thức hiện đại mà hạ tầng chưa có. Anh/Chị cần đánh giá điều gì để đảm bảo triển khai hiệu quả?</t>
  </si>
  <si>
    <t>Đánh giá khả năng tương thích, chi phí tích hợp và tính sẵn sàng công nghệ nội bộ để triển khai từng bước</t>
  </si>
  <si>
    <t>Chọn triển khai phiên bản đơn giản không cần qua tích hợp để kiểm tra phản ứng người dùng</t>
  </si>
  <si>
    <t>Tham khảo kinh nghiệm từ đối tác quốc tế và áp dụng y nguyên vào hệ thống hiện tại</t>
  </si>
  <si>
    <t>Đề xuất phát triển nội bộ một giải pháp thay thế từ đầu dựa trên mô hình hiện tại</t>
  </si>
  <si>
    <t xml:space="preserve">Napas dự kiến triển khai nền tảng thanh toán sử dụng kiến trúc microservice, yêu cầu tích hợp với hệ thống lõi hiện tại và chỉ hỗ trợ giao thức hiện đại mà hạ tầng chưa có. Anh/Chị cần đánh giá điều gì để đảm bảo triển khai hiệu quả?
</t>
  </si>
  <si>
    <t>Đánh giá về hiện trạng, tính phù hợp khi đưa nền tảng microservice và các tác động ảnh hưởng đến hệ thống công nghệ khi đưa nền tảng này vào hoạt động.</t>
  </si>
  <si>
    <t>Đánh giá về giá của các nền tảng microservice</t>
  </si>
  <si>
    <t>Đánh giá về con người vận hành các nền tảng microservice.</t>
  </si>
  <si>
    <t>Đánh giá về thực tế triển khai tại các đơn vị khác</t>
  </si>
  <si>
    <t xml:space="preserve">Napas dự kiến triển khai nền tảng thanh toán sử dụng kiến trúc microservice, yêu cầu tích hợp với hệ thống lõi hiện tại và chỉ hỗ trợ giao thức hiện đại mà hạ tầng chưa có. Anh/Chị cần đánh giá điều gì để đảm bảo triển khai hiệu quả?
</t>
  </si>
  <si>
    <t>Khả năng tương thích và chuyển đổi giao thức trung gian</t>
  </si>
  <si>
    <t>Hiệu năng của từng dịch vụ con</t>
  </si>
  <si>
    <t>Chi phí đầu tư ban đầu</t>
  </si>
  <si>
    <t>Khả năng thay đổi quy trình nghiệp vụ hiện có</t>
  </si>
  <si>
    <t xml:space="preserve">Trong kiến trúc hệ thống hiện đại, mô hình event-driven architecture (EDA) thường được sử dụng khi nào?
</t>
  </si>
  <si>
    <t>Khi hệ thống cần phản hồi nhanh với các sự kiện xảy ra không đồng bộ</t>
  </si>
  <si>
    <t>Khi hệ thống cần xử lý các tác vụ theo chu kỳ cố định</t>
  </si>
  <si>
    <t>Khi hệ thống chỉ có một luồng xử lý chính</t>
  </si>
  <si>
    <t>Khi hệ thống không cần mở rộng quy mô</t>
  </si>
  <si>
    <t>Trong một buổi đánh giá kiến trúc hệ thống, Anh/Chị được yêu cầu trình bày tính phù hợp của một nền tảng điện toán đám mây mới. Yêu cầu đặt ra bao gồm độ sẵn sàng cao, khả năng mở rộng linh hoạt và tuân thủ bảo mật theo PCI DSS. Kết luận nào sau đây thể hiện cách đánh giá đúng đắn?</t>
  </si>
  <si>
    <t>Giải pháp nên đáp ứng khả năng mở rộng, đảm bảo tính sẵn sàng và có kiểm định bảo mật độc lập</t>
  </si>
  <si>
    <t>Lựa chọn giải pháp có thời gian phản hồi giao diện nhanh hơn nhưng thiếu tiêu chuẩn bảo mật</t>
  </si>
  <si>
    <t>Tạm triển khai thử nghiệm một phần không yêu cầu tuân thủ bảo mật để đẩy nhanh tiến độ</t>
  </si>
  <si>
    <t>Đánh giá chủ yếu dựa trên các thông tin demo từ nhà cung cấp</t>
  </si>
  <si>
    <t xml:space="preserve">Trong một buổi đánh giá kiến trúc hệ thống, Anh/Chị được yêu cầu trình bày tính phù hợp của một nền tảng điện toán đám mây mới. Yêu cầu đặt ra bao gồm độ sẵn sàng cao, khả năng mở rộng linh hoạt và tuân thủ bảo mật theo PCI DSS. Kết luận nào sau đây thể hiện cách đánh giá đúng đắn?
</t>
  </si>
  <si>
    <t>Đánh giá chứng chỉ bảo mật, khả năng auto-scaling và kiến trúc đa vùng</t>
  </si>
  <si>
    <t>Ưu tiên nền tảng có chi phí thấp nhất để tiết kiệm đầu tư</t>
  </si>
  <si>
    <t>Chọn nền tảng được dùng phổ biến trong ngành ngân hàng</t>
  </si>
  <si>
    <t>Lựa chọn nền tảng có giao diện quản lý trực quan</t>
  </si>
  <si>
    <t xml:space="preserve">Trong thiết kế kiến trúc hệ thống phân tán, mục tiêu chính của việc sử dụng kiến trúc microservices là gì?
</t>
  </si>
  <si>
    <t>Tách biệt các chức năng để dễ triển khai, mở rộng và bảo trì</t>
  </si>
  <si>
    <t>Tăng tốc độ xử lý đồ họa</t>
  </si>
  <si>
    <t>Giảm chi phí phần cứng</t>
  </si>
  <si>
    <t>Tăng khả năng tương thích với hệ điều hành</t>
  </si>
  <si>
    <t>Trong việc "Thiết kế kiến trúc CNTT", khi thực hiện "So sánh và lựa chọn" công nghệ, việc "Đưa ra khuyến nghị dựa trên nghiên cứu sâu" đòi hỏi chuyên viên phải làm gì?</t>
  </si>
  <si>
    <t>Tổng hợp, phân tích thông tin từ nhiều nguồn để đánh giá toàn diện tính phù hợp, rủi ro và lợi ích của công nghệ trong bối cảnh cụ thể của tổ chức.</t>
  </si>
  <si>
    <t>Để "Lãnh đạo triển khai tích hợp công nghệ mới với bối cảnh kinh doanh hiện tại" một cách thành công, nhà lãnh đạo cần ưu tiên yếu tố nào khi ra quyết định?</t>
  </si>
  <si>
    <t>Sự phù hợp chiến lược của công nghệ với tầm nhìn dài hạn và khả năng cạnh tranh của doanh nghiệp, đồng thời quản lý rủi ro hiệu quả.</t>
  </si>
  <si>
    <t xml:space="preserve">Một hệ thống tài chính yêu cầu tính toàn vẹn dữ liệu cao và không được mất dữ liệu trong bất kỳ tình huống nào. Trong trường hợp xảy ra sự cố mạng giữa các node, bạn nên chọn giải pháp nào?
</t>
  </si>
  <si>
    <t>Áp dụng giao thức consensus như Paxos hoặc Raft để đảm bảo consistency</t>
  </si>
  <si>
    <t>Áp dụng mô hình eventual consistency để đảm bảo hiệu suất</t>
  </si>
  <si>
    <t>Sử dụng cơ chế replication không đồng bộ để giảm độ trễ</t>
  </si>
  <si>
    <t>Tạm thời ghi log vào file và đồng bộ sau</t>
  </si>
  <si>
    <t xml:space="preserve">Một nền tảng dịch vụ thanh toán nhanh 24/7 đang được lên kế hoạch triển khai tại Napas. Hệ thống hiện tại vẫn xử lý theo dạng batch, dữ liệu người dùng đang phân tán, và chưa có công cụ giám sát theo thời gian thực. Anh/Chị cần ưu tiên đánh giá điều gì về mặt công nghệ?
</t>
  </si>
  <si>
    <t>Khả năng chuyển đổi sang kiến trúc realtime và giám sát streaming</t>
  </si>
  <si>
    <t>Khả năng đồng bộ dữ liệu cuối ngày</t>
  </si>
  <si>
    <t>Hiệu năng dashboard người dùng</t>
  </si>
  <si>
    <t>Chi phí nâng cấp phần cứng</t>
  </si>
  <si>
    <t xml:space="preserve">Trong kiến trúc hệ thống sử dụng container orchestration (như Kubernetes), khái niệm sidecar pattern được dùng để làm gì?
</t>
  </si>
  <si>
    <t>Thêm các chức năng phụ trợ như logging, proxy, hoặc bảo mật mà không thay đổi container chính</t>
  </si>
  <si>
    <t>Tách biệt các dịch vụ frontend và backend</t>
  </si>
  <si>
    <t>Tăng tốc độ khởi động container chính</t>
  </si>
  <si>
    <t>Tự động scale container theo lưu lượng</t>
  </si>
  <si>
    <t>Trong quá trình tư vấn lựa chọn công nghệ cho trung tâm dữ liệu thế hệ mới, Anh/Chị nhận thấy hệ thống yêu cầu vận hành liên tục 24/7, dữ liệu cần được phân vùng logic theo nghiệp vụ và có kế hoạch tích hợp với các hệ thống bên ngoài. Đâu là hướng đánh giá phù hợp nhất trong trường hợp này?</t>
  </si>
  <si>
    <t>Tập trung đánh giá các công nghệ có khả năng đảm bảo tính sẵn sàng cao (High Availability) thông qua kiến trúc dự phòng N+1 hoặc Active-Active, hỗ trợ phân vùng dữ liệu (Data Partitioning/Sharding) và kiến trúc microservices để phân tách logic nghiệp vụ. Đồng thời, ưu tiên các giải pháp có API mạnh mẽ và chuẩn mở để tạo điều kiện tích hợp dễ dàng với các hệ thống bên ngoài, và xem xét khả năng quản lý tự động hóa (Automation) để duy trì vận hành 24/7 hiệu quả.</t>
  </si>
  <si>
    <t>Trong quá trình tư vấn lựa chọn công nghệ cho trung tâm dữ liệu thế hệ mới, Anh/Chị nhận thấy hệ thống yêu cầu vận hành liên tục 24/7, dữ liệu cần được phân vùng logic theo nghiệp vụ và có kế hoạch tích hợp với các hệ thống bên ngoài. Đâu là hướng đánh giá phù hợp nhất trong trường hợp này?
A. Tối ưu hóa giao diện quản trị
B. Khả năng phân vùng dữ liệu, độ sẵn sàng cao và hỗ trợ tích hợp mở
C. Chi phí điện năng vận hành thấp
D. Tích hợp sẵn dịch vụ AI nội bộ</t>
  </si>
  <si>
    <t>Khả năng phân vùng dữ liệu, độ sẵn sàng cao và hỗ trợ tích hợp mở</t>
  </si>
  <si>
    <t>Tối ưu hóa giao diện quản trị</t>
  </si>
  <si>
    <t>Chi phí điện năng vận hành thấp</t>
  </si>
  <si>
    <t>Tích hợp sẵn dịch vụ AI nội bộ</t>
  </si>
  <si>
    <t>Trong việc "Thiết kế kiến trúc CNTT", việc "Lãnh đạo triển khai tích hợp công nghệ mới với bối cảnh kinh doanh hiện tại" đòi hỏi nhà lãnh đạo phải làm gì?</t>
  </si>
  <si>
    <t>Định hướng chiến lược, huy động nguồn lực và dẫn dắt quá trình đưa công nghệ mới vào vận hành sao cho phù hợp và tạo ra giá trị tối đa cho mục tiêu kinh doanh của tổ chức.</t>
  </si>
  <si>
    <t>Quản lý tích hợp và tối ưu công nghệ:
Đảm bảo tích hợp hiệu quả giải pháp phần cứng, phần mềm và tối ưu quy trình vận hành</t>
  </si>
  <si>
    <t>Anh/Chị được giao phối hợp triển khai một giải pháp mới. Việc nào sau đây là cần thiết để đảm bảo tích hợp hiệu quả với hệ thống hiện tại?</t>
  </si>
  <si>
    <t>Tìm hiểu rõ cách thức hoạt động, chuẩn giao tiếp và dữ liệu đầu vào/ra của giải pháp</t>
  </si>
  <si>
    <t>Tăng cấu hình máy chủ trước khi tiến hành kiểm thử để giảm độ trễ truy cập</t>
  </si>
  <si>
    <t>Tạm ngắt toàn bộ hệ thống cũ để phục vụ việc triển khai dễ dàng hơn</t>
  </si>
  <si>
    <t>Thực hiện chạy song song cả hai hệ thống mà không cần đồng bộ dữ liệu</t>
  </si>
  <si>
    <t>Một chuyên viên đang "tham gia xây dựng kết nối các hệ thống nhỏ". Hành động nào sau đây KHÔNG phản ánh đúng biểu hiện năng lực "Kết nối cơ bản" của họ?</t>
  </si>
  <si>
    <t xml:space="preserve">Trong cấu trúc dữ liệu, thao tác nào sau đây là tốn thời gian nhất khi thực hiện trên một danh sách liên kết đơn (singly linked list)?
</t>
  </si>
  <si>
    <t>Truy cập phần tử ở vị trí thứ n</t>
  </si>
  <si>
    <t>Thêm phần tử vào đầu danh sách</t>
  </si>
  <si>
    <t>Duyệt qua toàn bộ danh sách</t>
  </si>
  <si>
    <t>Xóa phần tử đầu tiên</t>
  </si>
  <si>
    <t>Trong công tác tích hợp hệ thống mới vào hệ thống lõi Napas, lựa chọn nào dưới đây là đảm bảo công tác tích hợp được tốt nhất?</t>
  </si>
  <si>
    <t>1. Đảm bảo tính tương thích và an toàn và đầy đủ của dữ liệu
2. Đảo bảo về bảo mật của dữ liệu
3. Đảm bảo không ảnh hưởng đến hệ thống hiện tại
4. Cho phép giám sát và logging đầy đủ
5. Khả năng rollback khi tích hợp có vấn đề</t>
  </si>
  <si>
    <t xml:space="preserve">Trong công tác tích hợp hệ thống mới vào hệ thống lõi Napas, yếu tố nào sau đây cần được ưu tiên?
</t>
  </si>
  <si>
    <t>An toàn và hoạt động ổn định của hệ thống lõi</t>
  </si>
  <si>
    <t>Triển khai tích hợp hệ thống mới vào hệ thống lõi</t>
  </si>
  <si>
    <t>Ưu tiên đưa hệ thống mới vào sử dụng.</t>
  </si>
  <si>
    <t>Đảm bảo tính tương thích và an toàn trong giao tiếp với hệ thống lõi</t>
  </si>
  <si>
    <t>Thiết kế giao diện người dùng hiện đại và thân thiện</t>
  </si>
  <si>
    <t>Tối ưu tốc độ xử lý báo cáo nghiệp vụ</t>
  </si>
  <si>
    <t>Rút gọn các bước kiểm thử để đẩy nhanh tiến độ triển khai</t>
  </si>
  <si>
    <t>Trong thiết kế hệ thống, mô hình nào sau đây thường được sử dụng để mô tả mối quan hệ giữa các thực thể trong cơ sở dữ liệu?
A. Biểu đồ Use Case
B. Biểu đồ Gantt
C. Biểu đồ ERD (Entity-Relationship Diagram)
D. Biểu đồ lớp (Class Diagram)</t>
  </si>
  <si>
    <t>Biểu đồ ERD (Entity-Relationship Diagram)</t>
  </si>
  <si>
    <t>Biểu đồ Use Case</t>
  </si>
  <si>
    <t>Biểu đồ Gantt</t>
  </si>
  <si>
    <t>Biểu đồ lớp (Class Diagram)</t>
  </si>
  <si>
    <t>Trong việc "Quản lý tích hợp và tối ưu công nghệ", khi "tham gia xây dựng kết nối các hệ thống nhỏ", yếu tố nào là ưu tiên hàng đầu cần đảm bảo theo biểu hiện "Kết nối cơ bản"?</t>
  </si>
  <si>
    <t>Sự chính xác và toàn vẹn của dữ liệu khi được luân chuyển giữa các điểm được kết nối.</t>
  </si>
  <si>
    <t xml:space="preserve">Anh/Chị cần đề xuất phương án tối ưu khi phát hiện nhiều hệ thống nội bộ đang xử lý trùng thông tin. Phương án nào phù hợp nhất?
</t>
  </si>
  <si>
    <t>Thiết kế một hệ thống dữ liệu dùng chung, tập trung quản lý và tích hợp toàn bộ</t>
  </si>
  <si>
    <t>Tiếp tục duy trì các hệ thống hiện có và cập nhật thủ công định kỳ</t>
  </si>
  <si>
    <t>Giao cho mỗi hệ thống phụ trách một phần thông tin riêng biệt</t>
  </si>
  <si>
    <t>Tích hợp và đồng bộ dữ liệu qua các API đơn lẻ giữa các hệ thống</t>
  </si>
  <si>
    <t>Khi một chuyên viên "Hỗ trợ phát triển giải pháp tích hợp dữ liệu giữa các hệ thống lớn", vai trò chính của họ là gì trong dự án?</t>
  </si>
  <si>
    <t>Đảm bảo các luồng dữ liệu giữa các hệ thống được thiết kế, cấu hình và triển khai một cách chính xác, hiệu quả và đáp ứng yêu cầu.</t>
  </si>
  <si>
    <t xml:space="preserve">Một quản trị viên cơ sở dữ liệu muốn đảm bảo rằng chỉ một số người dùng có thể thực hiện thao tác DELETE trên bảng customers. Câu lệnh SQL nào sau đây là phù hợp nhất?
</t>
  </si>
  <si>
    <t>GRANT DELETE ON customers TO user_name;</t>
  </si>
  <si>
    <t>REVOKE DELETE ON customers FROM user_name;</t>
  </si>
  <si>
    <t>DROP DELETE ON customers TO user_name;</t>
  </si>
  <si>
    <t>ALTER DELETE ON customers TO user_name;</t>
  </si>
  <si>
    <t>Một ví dụ cụ thể về hoạt động "Hỗ trợ phát triển giải pháp tích hợp dữ liệu giữa các hệ thống lớn" của một chuyên viên là gì?</t>
  </si>
  <si>
    <t>Phối hợp với các đội ngũ kỹ thuật và nghiệp vụ để xác định định dạng dữ liệu chung (canonical data model) và phương thức trao đổi (API, message queue) giữa hệ thống Quản lý Quan hệ Khách hàng (CRM) và hệ thống Hoạch định Nguồn lực Doanh nghiệp (ERP).</t>
  </si>
  <si>
    <t xml:space="preserve">Trong hệ thống Big Data, cấu trúc dữ liệu nào sau đây thường được sử dụng để lưu trữ dữ liệu dạng cột, giúp tối ưu truy vấn phân tích?
</t>
  </si>
  <si>
    <t>Parquet</t>
  </si>
  <si>
    <t>JSON</t>
  </si>
  <si>
    <t>CSV</t>
  </si>
  <si>
    <t>XML</t>
  </si>
  <si>
    <t>Trong quá trình đánh giá một nền tảng mới cho phép kết nối với hệ thống thanh toán, yếu tố nào là cơ sở quyết định việc tích hợp?</t>
  </si>
  <si>
    <t>Khả năng mở rộng API, đáp ứng thời gian thực và hỗ trợ các tiêu chuẩn bảo mật của Napas</t>
  </si>
  <si>
    <t>Tính độc quyền của phần mềm và tốc độ thương lượng hợp đồng với nhà cung cấp</t>
  </si>
  <si>
    <t>Mức độ linh hoạt về giao diện người dùng và tốc độ triển khai</t>
  </si>
  <si>
    <t>Khả năng sử dụng ngôn ngữ lập trình phổ biến để viết lại toàn bộ chức năng</t>
  </si>
  <si>
    <t xml:space="preserve">Trong quá trình đánh giá một nền tảng mới cho phép kết nối với hệ thống thanh toán, yếu tố nào là cơ sở quyết định việc tích hợp?
</t>
  </si>
  <si>
    <t>Khả năng tích hợp, tương thích theo chuẩn API/chuẩn kết nối với hệ thống thanh toán</t>
  </si>
  <si>
    <t>Khả năng mở rộng của nền tảng mới</t>
  </si>
  <si>
    <t>Khả năng tùy chỉnh của nền tảng mới</t>
  </si>
  <si>
    <t>Mức độ bảo mật, khả năng xử lý thời gian thực và hỗ trợ chuẩn kết nối</t>
  </si>
  <si>
    <t>Tính linh hoạt trong cấu hình giao diện người dùng</t>
  </si>
  <si>
    <t>Khả năng mở rộng dung lượng lưu trữ</t>
  </si>
  <si>
    <t>Tốc độ cập nhật phiên bản mới từ nhà cung cấp</t>
  </si>
  <si>
    <t>Anh/Chị tham gia dự án tích hợp hệ thống báo cáo theo thời gian thực. Dữ liệu được lấy từ nhiều nguồn không đồng bộ, có định dạng khác nhau và tốc độ truyền tải không ổn định. Đâu là phương án tối ưu để đảm bảo hiệu năng và tính nhất quán?
A. Đồng bộ dữ liệu thủ công định kỳ
B. Dùng dashboard truy vấn trực tiếp từng nguồn
C. Áp dụng nền tảng tích hợp trung gian với luồng dữ liệu streaming
D. Chỉ dùng nguồn dữ liệu chính thống</t>
  </si>
  <si>
    <t>Áp dụng nền tảng tích hợp trung gian với luồng dữ liệu streaming</t>
  </si>
  <si>
    <t>Đồng bộ dữ liệu thủ công định kỳ</t>
  </si>
  <si>
    <t>Dùng dashboard truy vấn trực tiếp từng nguồn</t>
  </si>
  <si>
    <t>Chỉ dùng nguồn dữ liệu chính thống</t>
  </si>
  <si>
    <t>Khi một chuyên viên thực hiện "Đánh giá và cải thiện các mô hình công nghệ" trong khuôn khổ "Tích hợp sâu", họ cần có khả năng nào nổi bật?</t>
  </si>
  <si>
    <t>Phân tích các điểm yếu trong kiến trúc tích hợp hiện tại và đề xuất các giải pháp cải tiến mang tính chiến lược để tối ưu hóa luồng công việc và dữ liệu.</t>
  </si>
  <si>
    <t>Một số hệ thống nghiệp vụ tại Napas hoạt động tách biệt, không chia sẻ chuẩn giao tiếp và có mô hình dữ liệu khác nhau. Để nâng cao hiệu quả tích hợp mà không ảnh hưởng đến vận hành, phương án nào phù hợp nhất?</t>
  </si>
  <si>
    <t>Triển khai một nền tảng tích hợp trung gian (middleware hoặc ESB – Enterprise Service Bus) để kết nối các hệ thống, chuyển đổi định dạng dữ liệu và chuẩn hóa giao tiếp.</t>
  </si>
  <si>
    <t>Một số hệ thống nghiệp vụ tại Napas hoạt động tách biệt, không chia sẻ chuẩn giao tiếp và có mô hình dữ liệu khác nhau. Để nâng cao hiệu quả tích hợp mà không ảnh hưởng đến vận hành, phương án nào phù hợp nhất?
A. Thiết lập nền tảng tích hợp chung sử dụng chuẩn API mở và mô hình dữ liệu thống nhất
B. Sử dụng giải pháp đồng bộ dữ liệu thủ công hàng ngày
C. Thiết lập kết nối riêng lẻ cho từng hệ thống
D. Giữ nguyên hệ thống cũ, bổ sung dashboard đối chiếu</t>
  </si>
  <si>
    <t>Thiết lập nền tảng tích hợp chung sử dụng chuẩn API mở và mô hình dữ liệu thống nhất</t>
  </si>
  <si>
    <t>Sử dụng giải pháp đồng bộ dữ liệu thủ công hàng ngày</t>
  </si>
  <si>
    <t>Thiết lập kết nối riêng lẻ cho từng hệ thống</t>
  </si>
  <si>
    <t>Giữ nguyên hệ thống cũ, bổ sung dashboard đối chiếu</t>
  </si>
  <si>
    <t>Mục tiêu chính của "Tích hợp sâu" trong "Quản lý tích hợp và tối ưu công nghệ" là gì khi "Đánh giá và cải thiện các mô hình công nghệ"?</t>
  </si>
  <si>
    <t>Nâng cao đáng kể hiệu quả vận hành, khả năng tương tác và giá trị tổng thể của các hệ thống công nghệ thông qua việc tối ưu hóa sự phối hợp giữa chúng.</t>
  </si>
  <si>
    <t xml:space="preserve">Trong một hệ thống phân tán quy mô lớn, kiến trúc CQRS (Command Query Responsibility Segregation) được áp dụng nhằm mục đích gì?
</t>
  </si>
  <si>
    <t>Tách biệt luồng xử lý ghi và đọc để tối ưu hiệu suất và khả năng mở rộng</t>
  </si>
  <si>
    <t>Tăng tốc độ truyền dữ liệu giữa các microservices</t>
  </si>
  <si>
    <t>Đảm bảo tính toàn vẹn dữ liệu bằng cách sử dụng giao dịch phân tán</t>
  </si>
  <si>
    <t>Giảm độ trễ mạng bằng cách sử dụng cache phía client</t>
  </si>
  <si>
    <t xml:space="preserve">Trong thiết kế kiến trúc hệ thống có yêu cầu cao về khả năng mở rộng theo chiều ngang (horizontal scalability), yếu tố nào sau đây là quan trọng nhất?
</t>
  </si>
  <si>
    <t>Thiết kế stateless cho các thành phần xử lý</t>
  </si>
  <si>
    <t>Tối ưu hóa thuật toán xử lý dữ liệu</t>
  </si>
  <si>
    <t>Sử dụng phần cứng mạnh hơn cho máy chủ chính</t>
  </si>
  <si>
    <t>Tăng dung lượng bộ nhớ đệm (cache)</t>
  </si>
  <si>
    <t>Anh/Chị cần xây dựng giải pháp phân tích dữ liệu tổng hợp từ nhiều hệ thống có định dạng khác nhau, chưa được chuẩn hóa và không kết nối trực tiếp. Đâu là hướng tiếp cận phù hợp nhất?</t>
  </si>
  <si>
    <t>Thiết lập nền tảng dữ liệu hợp nhất gồm data lake cho lưu trữ thô, data warehouse để phân tích và các pipeline xử lý tự động</t>
  </si>
  <si>
    <t>Xây dựng bảng chỉ mục kết nối giữa các nguồn dữ liệu chính, áp dụng các thuật toán nội suy để xử lý phần thiếu</t>
  </si>
  <si>
    <t>Tạo trung tâm chia sẻ báo cáo sử dụng tệp tạm thời được cập nhật định kỳ qua cron job</t>
  </si>
  <si>
    <t>Phân bổ nhóm kiểm tra dữ liệu thủ công từ các nguồn và nhập lại vào hệ thống phân tích chính</t>
  </si>
  <si>
    <t>Bạn đang thiết kế hệ thống cho một ứng dụng thanh toán số có yêu cầu bảo mật cao và khả năng phục hồi nhanh sau sự cố. Giải pháp nào sau đây là ưu tiên hàng đầu?
A. Thiết kế ứng dụng và dữ liệu hoạt động trên public cloud
B. Sử dụng kiến trúc serverless
C. Thiết kế hệ thống đa vùng (multi-region) kết hợp với mã hóa dữ liệu và kiểm soát truy cập
D. Tập trung vào tối ưu hóa giao diện người dùng</t>
  </si>
  <si>
    <t>Thiết kế hệ thống đa vùng (multi-region) kết hợp với mã hóa dữ liệu và kiểm soát truy cập</t>
  </si>
  <si>
    <t>Thiết kế ứng dụng và dữ liệu hoạt động trên public cloud</t>
  </si>
  <si>
    <t>Tập trung vào tối ưu hóa giao diện người dùng</t>
  </si>
  <si>
    <t>Dự án nâng cấp hệ thống thanh toán tại Napas gặp khó khăn khi các nền tảng dùng giao tiếp API khác nhau, không có chuẩn xử lý lỗi và thiếu cơ chế tích hợp tự động. Phương án nào nên được ưu tiên?</t>
  </si>
  <si>
    <t>Triển khai ESB làm lõi tích hợp, chuẩn hóa các API theo mô hình dịch vụ và thiết lập luồng xử lý lỗi tự động có điều kiện</t>
  </si>
  <si>
    <t>Phân cụm nền tảng theo mức độ tương thích và áp dụng giải pháp chuyển đổi cấu trúc từng bước</t>
  </si>
  <si>
    <t>Xây dựng hệ điều phối riêng cho mỗi nền tảng và kết nối bằng hàng đợi đồng bộ định kỳ</t>
  </si>
  <si>
    <t>Thiết kế lại luồng tổng thể theo hướng độc lập xử lý, sau đó tổng hợp kết quả theo khối nghiệp vụ</t>
  </si>
  <si>
    <t>Khi thực hiện "Phát triển và giám sát các mô hình tích hợp công nghệ tiên tiến", yếu tố nào sau đây phản ánh rõ nhất sự "tiên tiến" của mô hình?</t>
  </si>
  <si>
    <t>Khả năng tự động hóa cao, sử dụng trí tuệ nhân tạo để tối ưu hóa luồng dữ liệu và quy trình, đồng thời có khả năng dự báo và thích ứng với thay đổi.</t>
  </si>
  <si>
    <t xml:space="preserve">Một hệ thống xử lý dữ liệu thời gian thực (real-time) đang gặp vấn đề về độ trễ khi lượng dữ liệu tăng đột biến. Giải pháp nào sau đây là phù hợp nhất để cải thiện hiệu suất?
</t>
  </si>
  <si>
    <t>Sử dụng kiến trúc event-driven kết hợp với message queue như Kafka</t>
  </si>
  <si>
    <t>Chuyển toàn bộ xử lý sang cơ sở dữ liệu quan hệ</t>
  </si>
  <si>
    <t>Tăng số lượng thread xử lý trong ứng dụng chính</t>
  </si>
  <si>
    <t>Lưu dữ liệu vào file log và xử lý sau theo lô (batch)</t>
  </si>
  <si>
    <t>Xây dựng mô hình tối ưu trong "Quản lý tích hợp và tối ưu công nghệ" có nghĩa là "Phát triển và giám sát các mô hình tích hợp công nghệ tiên tiến". Điều này đòi hỏi điều gì ở người thực hiện?</t>
  </si>
  <si>
    <t>Tầm nhìn chiến lược để thiết kế các mô hình tích hợp linh hoạt, có khả năng thích ứng và mang lại hiệu quả vượt trội, đồng thời liên tục theo dõi và cải tiến.</t>
  </si>
  <si>
    <t>Khai thác và xây dựng mô hình dữ liệu:
Tạo cấu trúc, phân tích và tối ưu dữ liệu.</t>
  </si>
  <si>
    <t>Anh/Chị cần thiết kế một giải pháp cơ bản cho hệ thống xử lý giao dịch. Bước đầu tiên cần thực hiện là gì?</t>
  </si>
  <si>
    <t>Xác định yêu cầu chức năng, phi chức năng và phạm vi hệ thống</t>
  </si>
  <si>
    <t>Khởi tạo sơ đồ vật lý của hệ thống trước khi phân tích yêu cầu</t>
  </si>
  <si>
    <t>Lập báo cáo ngân sách để xác định trước nguồn lực triển khai</t>
  </si>
  <si>
    <t>Chọn trước công nghệ để phù hợp với xu hướng thị trường</t>
  </si>
  <si>
    <t>Bạn đang làm việc với một bảng orders có hàng triệu bản ghi. Bạn cần truy vấn tất cả các đơn hàng được tạo trong 7 ngày gần nhất. Câu truy vấn hiện tại chạy chậm. Trong các giải pháp sau, đâu là cách tối ưu hóa hiệu quả nhất?
A. Thêm chỉ mục (index) cho cột order_date
B. Thêm chỉ mục cho tất cả các cột trong bảng
C. Sử dụng SELECT * thay vì chỉ định các cột cụ thể
D. Tăng RAM cho máy chủ cơ sở dữ liệu</t>
  </si>
  <si>
    <t>Thêm chỉ mục (index) cho cột order_date</t>
  </si>
  <si>
    <t>Thêm chỉ mục cho tất cả các cột trong bảng</t>
  </si>
  <si>
    <t>Sử dụng SELECT * thay vì chỉ định các cột cụ thể</t>
  </si>
  <si>
    <t>Tăng RAM cho máy chủ cơ sở dữ liệu</t>
  </si>
  <si>
    <t xml:space="preserve">Cấu trúc dữ liệu hash table có ưu điểm gì nổi bật so với danh sách liên kết khi tìm kiếm?
</t>
  </si>
  <si>
    <t>Tìm kiếm nhanh hơn với độ phức tạp trung bình là O(1)</t>
  </si>
  <si>
    <t>Tốn ít bộ nhớ hơn</t>
  </si>
  <si>
    <t>Dễ sắp xếp hơn</t>
  </si>
  <si>
    <t>Hỗ trợ duyệt tuần tự tốt hơn</t>
  </si>
  <si>
    <t>Khi một chuyên viên "Thực hiện thiết kế các cấu trúc dữ liệu đơn giản", điều gì là quan trọng nhất để "đảm bảo khả năng lưu trữ, truy xuất và khai thác dữ liệu hiệu quả"?</t>
  </si>
  <si>
    <t>Cấu trúc phải rõ ràng, dễ hiểu để hỗ trợ các thao tác dữ liệu cơ bản một cách nhanh chóng.</t>
  </si>
  <si>
    <t>Khi xây dựng giải pháp kỹ thuật cho một hệ thống nội bộ, điều gì cần được xác định đầu tiên?</t>
  </si>
  <si>
    <t>Tổng thể chức năng, nhóm người dùng chính và các yêu cầu về hiệu suất</t>
  </si>
  <si>
    <t>Tên miền truy cập hệ thống và danh sách tài khoản quản trị</t>
  </si>
  <si>
    <t>Các yêu cầu từ nhà cung cấp phần mềm thay vì từ người dùng nội bộ</t>
  </si>
  <si>
    <t>Mức độ bảo mật phần mềm sử dụng tại công ty khác trong ngành</t>
  </si>
  <si>
    <t>Nếu một chuyên viên được yêu cầu "Thực hiện thiết kế các cấu trúc dữ liệu đơn giản" cho việc quản lý thông tin sản phẩm, hành động nào sau đây KHÔNG phù hợp với biểu hiện năng lực này?</t>
  </si>
  <si>
    <t>Xây dựng một mô hình dữ liệu đa chiều (dimensional model) phức tạp cho hệ thống kho dữ liệu (data warehouse) của công ty.</t>
  </si>
  <si>
    <t xml:space="preserve">Bạn đang tối ưu một truy vấn có nhiều phép nối (JOIN) giữa các bảng lớn. Kỹ thuật nào sau đây giúp cải thiện hiệu suất truy vấn?
</t>
  </si>
  <si>
    <t>Đảm bảo các cột dùng để JOIN đều có chỉ mục</t>
  </si>
  <si>
    <t>Sử dụng SELECT * để lấy toàn bộ dữ liệu</t>
  </si>
  <si>
    <t>Tránh dùng điều kiện WHERE trong truy vấn</t>
  </si>
  <si>
    <t>Khi lựa chọn kiến trúc triển khai dịch vụ công trực tuyến, yếu tố nào sau đây là quan trọng nhất?</t>
  </si>
  <si>
    <t>Khả năng đảm bảo hiệu năng, an toàn dữ liệu và khả năng tích hợp với hệ thống hiện có</t>
  </si>
  <si>
    <t>Tính năng hỗ trợ đa ngôn ngữ giao diện và quản lý đăng nhập bằng tài khoản mạng xã hội</t>
  </si>
  <si>
    <t>Khả năng hoạt động tốt trên trình duyệt cũ và thiết bị di động lỗi thời</t>
  </si>
  <si>
    <t>Tốc độ tải trang cao trong điều kiện mạng không ổn định</t>
  </si>
  <si>
    <t>Khi một chuyên viên "triển khai các giải pháp truy vấn dữ liệu để đáp ứng nhu cầu phân tích và sử dụng dữ liệu cụ thể", họ thường thực hiện hành động nào để hỗ trợ người dùng?</t>
  </si>
  <si>
    <t>Tạo các khung nhìn (views) được định nghĩa sẵn hoặc các thủ tục lưu trữ (stored procedures) để đơn giản hóa việc truy cập các tập dữ liệu thường dùng cho các báo cáo hoặc phân tích lặp đi lặp lại.</t>
  </si>
  <si>
    <t>Mục tiêu hàng đầu của việc "Tối ưu hóa mô hình dữ liệu" trong khuôn khổ "Tối ưu cấu trúc dữ liệu" là gì?</t>
  </si>
  <si>
    <t>Nâng cao hiệu suất truy vấn, đồng thời làm cho dữ liệu dễ hiểu và dễ sử dụng hơn cho các nhu cầu phân tích và báo cáo cụ thể của người dùng.</t>
  </si>
  <si>
    <t>Trong quá trình xây dựng giải pháp hệ thống quản lý dữ liệu, Anh/Chị cần đảm bảo yếu tố nào để phù hợp với môi trường vận hành Napas?</t>
  </si>
  <si>
    <t>Khả năng mở rộng quy mô xử lý, tính linh hoạt trong tích hợp và đáp ứng tiêu chuẩn bảo mật của ngành</t>
  </si>
  <si>
    <t>Hệ thống sử dụng được công nghệ tiên tiến nhất hiện nay trong lĩnh vực xử lý dữ liệu</t>
  </si>
  <si>
    <t>Giải pháp cần đơn giản để bộ phận không chuyên cũng có thể quản lý trực tiếp</t>
  </si>
  <si>
    <t>Hệ thống phải triển khai nhanh mà không cần kiểm thử tích hợp</t>
  </si>
  <si>
    <t xml:space="preserve">Trong quá trình xây dựng giải pháp hệ thống quản lý dữ liệu, Anh/Chị cần đảm bảo yếu tố nào để phù hợp với môi trường vận hành Napas?
</t>
  </si>
  <si>
    <t>Các thông tin trên đều đúng.</t>
  </si>
  <si>
    <t>Thiết kế hệ thống dữ liệu</t>
  </si>
  <si>
    <t>Thực hiện đánh chỉ mục dữ liệu (index)</t>
  </si>
  <si>
    <t>Thực hiện chia partition dữ liệu để tối ưu truy vấn</t>
  </si>
  <si>
    <t xml:space="preserve">Trong quá trình xây dựng giải pháp hệ thống quản lý dữ liệu, Anh/Chị cần đảm bảo yếu tố nào để phù hợp với môi trường vận hành Napas?
</t>
  </si>
  <si>
    <t>Đáp ứng tiêu chuẩn bảo mật, khả năng mở rộng và độ sẵn sàng cao</t>
  </si>
  <si>
    <t>Đơn giản hóa giao diện và giảm chi phí đầu tư ban đầu</t>
  </si>
  <si>
    <t>Tối ưu hóa lưu trữ bằng cách nén dữ liệu</t>
  </si>
  <si>
    <t>Tích hợp sẵn các tính năng AI và phân tích dữ liệu nâng cao</t>
  </si>
  <si>
    <t xml:space="preserve">Trong quản trị cơ sở dữ liệu, mục đích chính của việc tạo chỉ mục (index) là gì?
</t>
  </si>
  <si>
    <t>Tăng tốc độ truy vấn dữ liệu</t>
  </si>
  <si>
    <t>Tăng dung lượng lưu trữ</t>
  </si>
  <si>
    <t>Bảo vệ dữ liệu khỏi truy cập trái phép</t>
  </si>
  <si>
    <t>Tự động sao lưu dữ liệu</t>
  </si>
  <si>
    <t>Hoạt động nào sau đây thể hiện rõ nhất việc "Thiết kế và phát triển các hệ thống quản trị dữ liệu phức tạp, hỗ trợ quản lý và phân tích dữ liệu lớn (big data)" trong khuôn khổ "Xây dựng kiến trúc dữ liệu toàn diện"?</t>
  </si>
  <si>
    <t>Xây dựng một hồ dữ liệu (data lake) có khả năng tiếp nhận, lưu trữ và xử lý nhiều loại dữ liệu phi cấu trúc và bán cấu trúc từ các nguồn đa dạng.</t>
  </si>
  <si>
    <t>Khi "Xây dựng kiến trúc dữ liệu toàn diện" để "hỗ trợ quản lý và phân tích dữ liệu lớn (big data)", chuyên viên cần đặc biệt chú trọng đến yếu tố nào của kiến trúc?</t>
  </si>
  <si>
    <t>Khả năng mở rộng (scalability) của hệ thống để đáp ứng khối lượng dữ liệu ngày càng tăng và tốc độ xử lý yêu cầu.</t>
  </si>
  <si>
    <t>Napas cần phát triển hệ thống báo cáo tổng hợp cho nhiều đơn vị thành viên. Dữ liệu hiện nay phân tán và chưa chuẩn hóa. Anh/Chị cần xây dựng kiến trúc như thế nào để đáp ứng mục tiêu chia sẻ dữ liệu hiệu quả?</t>
  </si>
  <si>
    <t>Đề xuất kiến trúc tập trung với tầng trung gian chuẩn hóa dữ liệu, cơ chế phân quyền truy cập và API thống nhất</t>
  </si>
  <si>
    <t>Thiết lập môi trường độc lập cho từng đơn vị, kết nối bằng bảng tổng hợp định kỳ</t>
  </si>
  <si>
    <t>Sử dụng nền tảng chia sẻ file cloud nội bộ và phân quyền truy cập theo thư mục</t>
  </si>
  <si>
    <t>Xây dựng dashboard riêng biệt và tổng hợp kết quả qua biểu mẫu thủ công hàng quý</t>
  </si>
  <si>
    <t xml:space="preserve">Napas cần phát triển hệ thống báo cáo tổng hợp cho nhiều đơn vị thành viên. Dữ liệu hiện nay phân tán và chưa chuẩn hóa. Anh/Chị cần xây dựng kiến trúc như thế nào để đáp ứng mục tiêu chia sẻ dữ liệu hiệu quả?
</t>
  </si>
  <si>
    <t>Tạo các báo cáo độc lập cho từng đơn vị thành viên</t>
  </si>
  <si>
    <t>Sử dụng data warehouse kết hợp quy trình ETL để chuẩn hóa dữ liệu tập trung</t>
  </si>
  <si>
    <t>Duy trì lưu trữ riêng và đối chiếu thủ công</t>
  </si>
  <si>
    <t>Kết nối trực tiếp từ dashboard tới hệ thống nguồn</t>
  </si>
  <si>
    <t>Trong dự án kiến trúc hệ thống hỗ trợ giao dịch tài chính theo thời gian thực, Anh/Chị cần đảm bảo độ trễ thấp, khả năng mở rộng và an toàn dữ liệu. Phương án nào phù hợp?</t>
  </si>
  <si>
    <t>Sử dụng kiến trúc microservices kết hợp với message queue (như Kafka) và cơ chế lưu trữ phân tán có mã hóa để đảm bảo hiệu năng, mở rộng linh hoạt và bảo mật dữ liệu. </t>
  </si>
  <si>
    <t>Trong dự án kiến trúc hệ thống hỗ trợ giao dịch tài chính theo thời gian thực, Anh/Chị cần đảm bảo độ trễ thấp, khả năng mở rộng và an toàn dữ liệu. Phương án nào phù hợp?
A. Triển khai kiến trúc event-driven kết hợp xử lý in-memory
B. Tăng cường số lượng nhân sự vận hành hệ thống
C. Chuyển tất cả xử lý sang batch ban đêm
D. Ưu tiên xử lý các giao dịch lớn trước</t>
  </si>
  <si>
    <t>Triển khai kiến trúc event-driven kết hợp xử lý in-memory</t>
  </si>
  <si>
    <t>Tăng cường số lượng nhân sự vận hành hệ thống</t>
  </si>
  <si>
    <t>Chuyển tất cả xử lý sang batch ban đêm</t>
  </si>
  <si>
    <t>Ưu tiên xử lý các giao dịch lớn trước</t>
  </si>
  <si>
    <t xml:space="preserve">Trong hệ thống phân tán như Hadoop hoặc Spark, cấu trúc dữ liệu nào sau đây thường được sử dụng để lưu trữ dữ liệu tạm thời giữa các bước xử lý?
</t>
  </si>
  <si>
    <t>Queue</t>
  </si>
  <si>
    <t>Stack</t>
  </si>
  <si>
    <t>RDD (Resilient Distributed Dataset)</t>
  </si>
  <si>
    <t>Linked List</t>
  </si>
  <si>
    <t xml:space="preserve">Trong kiến trúc Hadoop, thành phần nào chịu trách nhiệm phân phối và theo dõi tiến trình xử lý dữ liệu?
</t>
  </si>
  <si>
    <t>YARN ResourceManager</t>
  </si>
  <si>
    <t>HDFS</t>
  </si>
  <si>
    <t>NameNode</t>
  </si>
  <si>
    <t>DataNode</t>
  </si>
  <si>
    <t>Anh/Chị được giao thiết kế kiến trúc cho hệ thống thanh toán thế hệ mới của Napas. Yêu cầu hệ thống bao gồm: khả năng xử lý hàng triệu giao dịch/ngày với độ trễ tối thiểu, vận hành liên tục 24/7 không gián đoạn, khả năng triển khai đa vùng địa lý và tuân thủ tiêu chuẩn an toàn PCI DSS. Ngoài ra, hệ thống cần tích hợp dễ dàng với các ngân hàng thành viên qua giao tiếp mở. Phương án nào là phù hợp nhất?</t>
  </si>
  <si>
    <t>Áp dụng kiến trúc microservices có khả năng mở rộng theo chiều ngang, tích hợp failover tự động, chuẩn hóa giao tiếp API mở và tuân thủ đầy đủ tiêu chuẩn bảo mật ngành tài chính</t>
  </si>
  <si>
    <t>Triển khai mô hình xử lý tập trung tại một trung tâm dữ liệu chính, sử dụng kiến trúc đơn khối hiệu năng cao, có kế hoạch sao lưu định kỳ và tích hợp từng API riêng biệt theo đặc thù đối tác</t>
  </si>
  <si>
    <t>Thiết kế mô hình phân tán độc lập cho từng vùng hoạt động, không đồng bộ thời gian thực và dựa vào đồng bộ hàng loạt vào cuối ngày để tiết kiệm tài nguyên</t>
  </si>
  <si>
    <t>Tối ưu chi phí bằng cách giới hạn lưu lượng xử lý trong mỗi khung giờ, phân bổ phiên giao dịch theo nhóm dịch vụ và sử dụng cơ chế giám sát bán tự động để theo dõi lỗi phát sinh</t>
  </si>
  <si>
    <t>Để "Triển khai tích hợp các công cụ phân tích dữ liệu tiên tiến" một cách hiệu quả, tổ chức cần chú trọng đến yếu tố nào liên quan đến con người và quy trình?</t>
  </si>
  <si>
    <t>Xây dựng đội ngũ có kỹ năng phân tích dữ liệu cao, văn hóa ra quyết định dựa trên dữ liệu và quy trình chia sẻ thông tin hiệu quả giữa các bộ phận.</t>
  </si>
  <si>
    <t xml:space="preserve">Một công ty logistics muốn theo dõi vị trí xe giao hàng theo thời gian thực và phân tích hiệu suất giao hàng theo khu vực. Dữ liệu GPS được gửi liên tục từ hàng trăm xe. Yêu cầu là lưu trữ dữ liệu hiệu quả và có thể truy vấn nhanh theo thời gian và khu vực. Giải pháp nào sau đây là phù hợp nhất?
</t>
  </si>
  <si>
    <t>Dùng Kafka để thu thập dữ liệu, lưu vào hệ thống lưu trữ dạng cột như Apache HBase hoặc Bigtable</t>
  </si>
  <si>
    <t>Lưu dữ liệu vào MongoDB và truy vấn theo thời gian thực</t>
  </si>
  <si>
    <t>Lưu dữ liệu vào Excel và phân tích bằng Power BI</t>
  </si>
  <si>
    <t>Dùng PostgreSQL với chỉ mục toàn văn (full-text index)</t>
  </si>
  <si>
    <t xml:space="preserve">Một ngân hàng đang xây dựng hệ thống phát hiện gian lận giao dịch (fraud detection). Dữ liệu giao dịch đến liên tục từ nhiều chi nhánh và cần được xử lý ngay lập tức để ngăn chặn hành vi bất thường. Ngoài ra, hệ thống phải đảm bảo tính mở rộng và độ tin cậy cao. Giải pháp kiến trúc nào sau đây là tối ưu nhất?
</t>
  </si>
  <si>
    <t>Dùng Kafka để thu thập dữ liệu, Flink để xử lý thời gian thực, và Cassandra để lưu trữ kết quả</t>
  </si>
  <si>
    <t>Xử lý dữ liệu bằng Spark batch jobs chạy mỗi 5 phút</t>
  </si>
  <si>
    <t>Lưu dữ liệu vào MySQL và dùng cron job để kiểm tra gian lận</t>
  </si>
  <si>
    <t>Dùng Hadoop MapReduce để phân tích dữ liệu sau mỗi ngày</t>
  </si>
  <si>
    <t>Napas triển khai giải pháp tích hợp đa nền tảng (web, mobile, API mở) phục vụ đối tác ngân hàng, doanh nghiệp và người dùng cuối. Các hệ thống hiện tại đang phân mảnh, thiếu chuẩn giao tiếp, độ trễ cao khi đồng bộ và chưa có cơ chế bảo mật tập trung. Yêu cầu đặt ra là đảm bảo khả năng xử lý đa luồng, kiểm soát truy cập tập trung và hỗ trợ mở rộng quy mô theo nhu cầu dịch vụ. Phương án nào nên được ưu tiên?</t>
  </si>
  <si>
    <t>Xây dựng kiến trúc tích hợp đa tầng với lớp giao tiếp trung gian API Gateway có bảo mật tích hợp, cơ chế xác thực tập trung và tầng xử lý độc lập cho từng nền tảng nhằm tối ưu hiệu suất</t>
  </si>
  <si>
    <t>Tái cấu trúc hệ thống về một nền tảng hợp nhất trên web framework chính, giới hạn đầu mối tích hợp và giảm tải nền tảng mobile để tiết kiệm chi phí duy trì</t>
  </si>
  <si>
    <t>Duy trì các hệ thống hiện hành và tăng cường kiểm soát bằng danh sách IP truy cập, phân quyền theo định danh trình duyệt và triển khai xác thực đơn lớp cho đơn giản hóa</t>
  </si>
  <si>
    <t>Tập trung cải thiện giao diện người dùng và tốc độ phản hồi trang web mà chưa thay đổi cấu trúc lõi, trì hoãn tích hợp các nền tảng khác cho đến khi hoàn tất khảo sát người dùng nội bộ</t>
  </si>
  <si>
    <t>Trong việc "Khai thác và xây dựng mô hình dữ liệu", mục tiêu của việc "Triển khai tích hợp các công cụ phân tích dữ liệu tiên tiến nhằm hỗ trợ ra quyết định chiến lược và cải thiện hiệu suất" là gì?</t>
  </si>
  <si>
    <t>Cung cấp thông tin sâu sắc, kịp thời và có giá trị từ dữ liệu lớn để lãnh đạo đưa ra các quyết định kinh doanh hiệu quả hơn và tối ưu hóa hoạt động của tổ chức.</t>
  </si>
  <si>
    <t>P10 - Thiết kế kiến trúc CNTT</t>
  </si>
  <si>
    <t>Trong thiết kế hệ thống thông tin, mục tiêu chính của thiết kế logic là gì?</t>
  </si>
  <si>
    <t>Trong thiết kế kiến trúc hệ thống, mô hình kiến trúc 3 lớp (Three-tier architecture) bao gồm những thành phần nào?</t>
  </si>
  <si>
    <t>Bạn đang thiết kế một hệ thống thương mại điện tử có lượng truy cập cao vào các dịp khuyến mãi. Là kiến trúc sư hệ thống, bạn cần đảm bảo hệ thống có thể mở rộng linh hoạt và không bị gián đoạn. Giải pháp nào sau đây là tối ưu nhất?</t>
  </si>
  <si>
    <t>Bạn đang làm việc với một bảng orders có hàng triệu bản ghi. Bạn cần truy vấn tất cả các đơn hàng được tạo trong 7 ngày gần nhất. Câu truy vấn hiện tại chạy chậm. Trong các giải pháp sau, đâu là cách tối ưu hóa hiệu quả nhất?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</si>
</sst>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0"/>
      <color theme="1"/>
      <name val="Arial"/>
      <family val="2"/>
    </font>
    <font>
      <sz val="10"/>
      <color rgb="FF000000"/>
      <name val="Arial"/>
      <family val="2"/>
    </font>
    <font>
      <sz val="11"/>
      <color theme="1"/>
      <name val="Arial"/>
      <family val="2"/>
    </font>
    <font>
      <sz val="10"/>
      <color theme="1"/>
      <name val="Arial"/>
      <family val="2"/>
    </font>
    <font>
      <sz val="10"/>
      <name val="Arial"/>
      <family val="2"/>
    </font>
    <font>
      <b/>
      <sz val="10"/>
      <color theme="0"/>
      <name val="Arial"/>
      <family val="2"/>
    </font>
    <font>
      <i/>
      <sz val="9"/>
      <color theme="1"/>
      <name val="Arial"/>
      <family val="2"/>
    </font>
    <font>
      <b/>
      <sz val="16"/>
      <color theme="1"/>
      <name val="Arial"/>
      <family val="2"/>
    </font>
    <font>
      <b/>
      <sz val="11"/>
      <color theme="1"/>
      <name val="Arial"/>
      <family val="2"/>
    </font>
    <font>
      <b/>
      <sz val="11"/>
      <color theme="0"/>
      <name val="Arial"/>
      <family val="2"/>
    </font>
  </fonts>
  <fills count="10">
    <fill>
      <patternFill patternType="none"/>
    </fill>
    <fill>
      <patternFill patternType="gray125"/>
    </fill>
    <fill>
      <patternFill patternType="solid">
        <fgColor theme="0" tint="-4.9989318521683403E-2"/>
        <bgColor indexed="64"/>
      </patternFill>
    </fill>
    <fill>
      <patternFill patternType="solid">
        <fgColor theme="3" tint="9.9978637043366805E-2"/>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2" tint="-9.9978637043366805E-2"/>
        <bgColor indexed="64"/>
      </patternFill>
    </fill>
    <fill>
      <patternFill patternType="solid">
        <fgColor theme="3" tint="0.89999084444715716"/>
        <bgColor indexed="64"/>
      </patternFill>
    </fill>
  </fills>
  <borders count="3">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diagonalDown="1">
      <left style="thin">
        <color theme="2" tint="-0.249977111117893"/>
      </left>
      <right style="thin">
        <color theme="2" tint="-0.249977111117893"/>
      </right>
      <top style="thin">
        <color theme="2" tint="-0.249977111117893"/>
      </top>
      <bottom style="thin">
        <color theme="2" tint="-0.249977111117893"/>
      </bottom>
      <diagonal style="thin">
        <color theme="2" tint="-0.249977111117893"/>
      </diagonal>
    </border>
  </borders>
  <cellStyleXfs count="2">
    <xf numFmtId="0" fontId="0" fillId="0" borderId="0"/>
    <xf numFmtId="0" fontId="2" fillId="0" borderId="0"/>
  </cellStyleXfs>
  <cellXfs count="25">
    <xf numFmtId="0" fontId="0" fillId="0" borderId="0" xfId="0"/>
    <xf numFmtId="0" fontId="4" fillId="0" borderId="1" xfId="0" applyFont="1" applyBorder="1" applyAlignment="1">
      <alignment horizontal="center" vertical="top"/>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7" fillId="0" borderId="1" xfId="0" quotePrefix="1" applyFont="1" applyBorder="1" applyAlignment="1">
      <alignment horizontal="center" vertical="top" wrapText="1"/>
    </xf>
    <xf numFmtId="0" fontId="4" fillId="5" borderId="1" xfId="0" applyFont="1" applyFill="1" applyBorder="1" applyAlignment="1">
      <alignment vertical="top" wrapText="1"/>
    </xf>
    <xf numFmtId="0" fontId="6" fillId="6" borderId="1" xfId="0" applyFont="1" applyFill="1" applyBorder="1" applyAlignment="1">
      <alignment horizontal="center" vertical="top" wrapText="1"/>
    </xf>
    <xf numFmtId="0" fontId="4" fillId="0" borderId="1" xfId="0" quotePrefix="1" applyFont="1" applyBorder="1" applyAlignment="1">
      <alignment vertical="top" wrapText="1"/>
    </xf>
    <xf numFmtId="0" fontId="5" fillId="0" borderId="1" xfId="1" applyFont="1" applyBorder="1" applyAlignment="1" applyProtection="1">
      <alignment horizontal="left" vertical="top" wrapText="1"/>
      <protection locked="0"/>
    </xf>
    <xf numFmtId="0" fontId="4" fillId="8" borderId="1" xfId="0" quotePrefix="1" applyFont="1" applyFill="1" applyBorder="1" applyAlignment="1">
      <alignment vertical="top" wrapText="1"/>
    </xf>
    <xf numFmtId="0" fontId="4" fillId="8" borderId="1" xfId="0" applyFont="1" applyFill="1" applyBorder="1" applyAlignment="1">
      <alignment vertical="top" wrapText="1"/>
    </xf>
    <xf numFmtId="0" fontId="5" fillId="8" borderId="1" xfId="1" applyFont="1" applyFill="1" applyBorder="1" applyAlignment="1" applyProtection="1">
      <alignment horizontal="left" vertical="top" wrapText="1"/>
      <protection locked="0"/>
    </xf>
    <xf numFmtId="0" fontId="3" fillId="0" borderId="0" xfId="0" applyFont="1" applyAlignment="1">
      <alignment horizontal="center" vertical="top"/>
    </xf>
    <xf numFmtId="0" fontId="3" fillId="0" borderId="0" xfId="0" applyFont="1" applyAlignment="1">
      <alignment vertical="top"/>
    </xf>
    <xf numFmtId="0" fontId="8" fillId="0" borderId="0" xfId="0" applyFont="1" applyAlignment="1">
      <alignment horizontal="left" vertical="top"/>
    </xf>
    <xf numFmtId="0" fontId="7" fillId="0" borderId="0" xfId="0" applyFont="1" applyAlignment="1">
      <alignment vertical="top"/>
    </xf>
    <xf numFmtId="0" fontId="10" fillId="3" borderId="1" xfId="0" applyFont="1" applyFill="1" applyBorder="1" applyAlignment="1">
      <alignment horizontal="center" vertical="center" wrapText="1"/>
    </xf>
    <xf numFmtId="0" fontId="9" fillId="9" borderId="1" xfId="0" applyFont="1" applyFill="1" applyBorder="1" applyAlignment="1">
      <alignment horizontal="center" vertical="center"/>
    </xf>
    <xf numFmtId="0" fontId="6" fillId="3" borderId="2" xfId="0" applyFont="1" applyFill="1" applyBorder="1" applyAlignment="1">
      <alignment vertical="top" wrapText="1"/>
    </xf>
    <xf numFmtId="0" fontId="6" fillId="3"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4" fillId="0" borderId="1" xfId="0" applyFont="1" applyBorder="1" applyAlignment="1">
      <alignment horizontal="center" vertical="center"/>
    </xf>
    <xf numFmtId="0" fontId="6" fillId="7" borderId="1" xfId="0" applyFont="1" applyFill="1" applyBorder="1" applyAlignment="1">
      <alignment horizontal="center" vertical="top" wrapText="1"/>
    </xf>
    <xf numFmtId="0" fontId="6" fillId="3" borderId="1" xfId="0" applyFont="1" applyFill="1" applyBorder="1" applyAlignment="1">
      <alignment horizontal="center" vertical="top" wrapText="1"/>
    </xf>
    <xf numFmtId="0" fontId="6" fillId="4" borderId="1" xfId="0" applyFont="1" applyFill="1" applyBorder="1" applyAlignment="1">
      <alignment horizontal="center" vertical="top" wrapText="1"/>
    </xf>
  </cellXfs>
  <cellStyles count="2">
    <cellStyle name="Normal" xfId="0" builtinId="0"/>
    <cellStyle name="Normal 2" xfId="1" xr:uid="{17F16F5E-965D-40AC-9573-37F3BFECD5A9}"/>
  </cellStyles>
  <dxfs count="2">
    <dxf>
      <fill>
        <patternFill>
          <bgColor rgb="FFFCF0B2"/>
        </patternFill>
      </fill>
    </dxf>
    <dxf>
      <fill>
        <patternFill>
          <bgColor rgb="FFFCF0B2"/>
        </patternFill>
      </fill>
    </dxf>
  </dxfs>
  <tableStyles count="0" defaultTableStyle="TableStyleMedium2" defaultPivotStyle="PivotStyleLight16"/>
  <colors>
    <mruColors>
      <color rgb="FFFCF0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5BE64-F609-4C70-80D6-498E418F1D4C}">
  <dimension ref="B2:K113"/>
  <sheetViews>
    <sheetView showGridLines="0" topLeftCell="A59" zoomScale="70" zoomScaleNormal="70" workbookViewId="0">
      <selection activeCell="H62" sqref="H62"/>
    </sheetView>
  </sheetViews>
  <sheetFormatPr defaultColWidth="9" defaultRowHeight="14" outlineLevelRow="1" x14ac:dyDescent="0.35"/>
  <cols>
    <col min="1" max="1" width="2.81640625" style="13" customWidth="1"/>
    <col min="2" max="2" width="7.81640625" style="12" customWidth="1"/>
    <col min="3" max="3" width="9" style="12"/>
    <col min="4" max="4" width="23.453125" style="13" customWidth="1"/>
    <col min="5" max="5" width="9" style="12"/>
    <col min="6" max="10" width="45.453125" style="13" customWidth="1"/>
    <col min="11" max="11" width="9" style="13"/>
    <col min="12" max="12" width="12.81640625" style="13" customWidth="1"/>
    <col min="13" max="16384" width="9" style="13"/>
  </cols>
  <sheetData>
    <row r="2" spans="2:11" ht="26.5" customHeight="1" x14ac:dyDescent="0.35">
      <c r="B2" s="14" t="s">
        <v>360</v>
      </c>
    </row>
    <row r="3" spans="2:11" ht="10.25" customHeight="1" x14ac:dyDescent="0.35">
      <c r="B3" s="14"/>
    </row>
    <row r="4" spans="2:11" ht="31.75" customHeight="1" outlineLevel="1" x14ac:dyDescent="0.35">
      <c r="B4" s="14"/>
      <c r="D4" s="18" t="s">
        <v>10</v>
      </c>
      <c r="E4" s="19" t="s">
        <v>11</v>
      </c>
      <c r="F4" s="20">
        <v>1</v>
      </c>
      <c r="G4" s="20">
        <v>2</v>
      </c>
      <c r="H4" s="20">
        <v>3</v>
      </c>
    </row>
    <row r="5" spans="2:11" ht="20" customHeight="1" outlineLevel="1" x14ac:dyDescent="0.35">
      <c r="B5" s="14"/>
      <c r="D5" s="19" t="s">
        <v>11</v>
      </c>
      <c r="E5" s="16">
        <f>SUM(E6:E9)</f>
        <v>88</v>
      </c>
      <c r="F5" s="17">
        <f>SUM(F6:F9)</f>
        <v>31</v>
      </c>
      <c r="G5" s="17">
        <f t="shared" ref="G5:H5" si="0">SUM(G6:G9)</f>
        <v>29</v>
      </c>
      <c r="H5" s="17">
        <f t="shared" si="0"/>
        <v>28</v>
      </c>
    </row>
    <row r="6" spans="2:11" ht="20" customHeight="1" outlineLevel="1" x14ac:dyDescent="0.35">
      <c r="B6" s="14"/>
      <c r="D6" s="20">
        <v>1</v>
      </c>
      <c r="E6" s="17">
        <f>SUM(F6:H6)</f>
        <v>20</v>
      </c>
      <c r="F6" s="21">
        <f>COUNTIFS($E$13:$E$200,$D6,$C$13:$C$200,F$4)</f>
        <v>6</v>
      </c>
      <c r="G6" s="21">
        <f t="shared" ref="G6:H9" si="1">COUNTIFS($E$13:$E$200,$D6,$C$13:$C$200,G$4)</f>
        <v>8</v>
      </c>
      <c r="H6" s="21">
        <f t="shared" si="1"/>
        <v>6</v>
      </c>
    </row>
    <row r="7" spans="2:11" ht="20" customHeight="1" outlineLevel="1" x14ac:dyDescent="0.35">
      <c r="B7" s="14"/>
      <c r="D7" s="20">
        <v>2</v>
      </c>
      <c r="E7" s="17">
        <f t="shared" ref="E7:E9" si="2">SUM(F7:H7)</f>
        <v>25</v>
      </c>
      <c r="F7" s="21">
        <f t="shared" ref="F7:F9" si="3">COUNTIFS($E$13:$E$200,$D7,$C$13:$C$200,F$4)</f>
        <v>9</v>
      </c>
      <c r="G7" s="21">
        <f t="shared" si="1"/>
        <v>8</v>
      </c>
      <c r="H7" s="21">
        <f t="shared" si="1"/>
        <v>8</v>
      </c>
    </row>
    <row r="8" spans="2:11" ht="20" customHeight="1" outlineLevel="1" x14ac:dyDescent="0.35">
      <c r="B8" s="14"/>
      <c r="D8" s="20">
        <v>3</v>
      </c>
      <c r="E8" s="17">
        <f t="shared" si="2"/>
        <v>24</v>
      </c>
      <c r="F8" s="21">
        <f t="shared" si="3"/>
        <v>9</v>
      </c>
      <c r="G8" s="21">
        <f t="shared" si="1"/>
        <v>7</v>
      </c>
      <c r="H8" s="21">
        <f t="shared" si="1"/>
        <v>8</v>
      </c>
    </row>
    <row r="9" spans="2:11" ht="20" customHeight="1" outlineLevel="1" x14ac:dyDescent="0.35">
      <c r="B9" s="14"/>
      <c r="D9" s="20">
        <v>4</v>
      </c>
      <c r="E9" s="17">
        <f t="shared" si="2"/>
        <v>19</v>
      </c>
      <c r="F9" s="21">
        <f t="shared" si="3"/>
        <v>7</v>
      </c>
      <c r="G9" s="21">
        <f t="shared" si="1"/>
        <v>6</v>
      </c>
      <c r="H9" s="21">
        <f t="shared" si="1"/>
        <v>6</v>
      </c>
    </row>
    <row r="10" spans="2:11" ht="6.75" customHeight="1" x14ac:dyDescent="0.35"/>
    <row r="11" spans="2:11" ht="19.25" customHeight="1" x14ac:dyDescent="0.35">
      <c r="B11" s="23" t="s">
        <v>0</v>
      </c>
      <c r="C11" s="23" t="s">
        <v>1</v>
      </c>
      <c r="D11" s="23" t="s">
        <v>2</v>
      </c>
      <c r="E11" s="23" t="s">
        <v>3</v>
      </c>
      <c r="F11" s="24" t="s">
        <v>8</v>
      </c>
      <c r="G11" s="22" t="s">
        <v>9</v>
      </c>
      <c r="H11" s="22"/>
      <c r="I11" s="22"/>
      <c r="J11" s="22"/>
    </row>
    <row r="12" spans="2:11" ht="19.25" customHeight="1" x14ac:dyDescent="0.35">
      <c r="B12" s="23"/>
      <c r="C12" s="23"/>
      <c r="D12" s="23"/>
      <c r="E12" s="23"/>
      <c r="F12" s="24"/>
      <c r="G12" s="6" t="s">
        <v>4</v>
      </c>
      <c r="H12" s="6" t="s">
        <v>5</v>
      </c>
      <c r="I12" s="6" t="s">
        <v>6</v>
      </c>
      <c r="J12" s="6" t="s">
        <v>7</v>
      </c>
    </row>
    <row r="13" spans="2:11" s="15" customFormat="1" ht="12" x14ac:dyDescent="0.35">
      <c r="B13" s="4" t="str">
        <f t="shared" ref="B13:J13" si="4">"("&amp;COLUMN()-COLUMN($A$13)&amp;")"</f>
        <v>(1)</v>
      </c>
      <c r="C13" s="4" t="str">
        <f t="shared" si="4"/>
        <v>(2)</v>
      </c>
      <c r="D13" s="4" t="str">
        <f t="shared" si="4"/>
        <v>(3)</v>
      </c>
      <c r="E13" s="4" t="str">
        <f t="shared" si="4"/>
        <v>(4)</v>
      </c>
      <c r="F13" s="4" t="str">
        <f t="shared" si="4"/>
        <v>(5)</v>
      </c>
      <c r="G13" s="4" t="str">
        <f t="shared" si="4"/>
        <v>(6)</v>
      </c>
      <c r="H13" s="4" t="str">
        <f t="shared" si="4"/>
        <v>(7)</v>
      </c>
      <c r="I13" s="4" t="str">
        <f t="shared" si="4"/>
        <v>(8)</v>
      </c>
      <c r="J13" s="4" t="str">
        <f t="shared" si="4"/>
        <v>(9)</v>
      </c>
    </row>
    <row r="14" spans="2:11" ht="87.5" x14ac:dyDescent="0.35">
      <c r="B14" s="1">
        <f>ROW()-ROW($B$13)</f>
        <v>1</v>
      </c>
      <c r="C14" s="2">
        <v>1</v>
      </c>
      <c r="D14" s="3" t="s">
        <v>12</v>
      </c>
      <c r="E14" s="2">
        <v>1</v>
      </c>
      <c r="F14" s="5" t="s">
        <v>13</v>
      </c>
      <c r="G14" s="9" t="s">
        <v>14</v>
      </c>
      <c r="H14" s="7" t="s">
        <v>15</v>
      </c>
      <c r="I14" s="7" t="s">
        <v>16</v>
      </c>
      <c r="J14" s="7" t="s">
        <v>17</v>
      </c>
      <c r="K14" s="13">
        <f>E14</f>
        <v>1</v>
      </c>
    </row>
    <row r="15" spans="2:11" ht="87.5" x14ac:dyDescent="0.35">
      <c r="B15" s="1">
        <f t="shared" ref="B15:B34" si="5">ROW()-ROW($B$13)</f>
        <v>2</v>
      </c>
      <c r="C15" s="2">
        <v>1</v>
      </c>
      <c r="D15" s="3" t="s">
        <v>12</v>
      </c>
      <c r="E15" s="2">
        <v>1</v>
      </c>
      <c r="F15" s="5" t="s">
        <v>18</v>
      </c>
      <c r="G15" s="10" t="s">
        <v>19</v>
      </c>
      <c r="H15" s="3" t="s">
        <v>20</v>
      </c>
      <c r="I15" s="3" t="s">
        <v>21</v>
      </c>
      <c r="J15" s="3" t="s">
        <v>22</v>
      </c>
      <c r="K15" s="13">
        <f t="shared" ref="K15:K78" si="6">E15</f>
        <v>1</v>
      </c>
    </row>
    <row r="16" spans="2:11" ht="87.5" x14ac:dyDescent="0.35">
      <c r="B16" s="1">
        <f t="shared" si="5"/>
        <v>3</v>
      </c>
      <c r="C16" s="2">
        <v>1</v>
      </c>
      <c r="D16" s="3" t="s">
        <v>12</v>
      </c>
      <c r="E16" s="2">
        <v>1</v>
      </c>
      <c r="F16" s="5" t="s">
        <v>23</v>
      </c>
      <c r="G16" s="10" t="s">
        <v>24</v>
      </c>
      <c r="H16" s="3"/>
      <c r="I16" s="3"/>
      <c r="J16" s="3"/>
      <c r="K16" s="13">
        <f t="shared" si="6"/>
        <v>1</v>
      </c>
    </row>
    <row r="17" spans="2:11" ht="87.5" x14ac:dyDescent="0.35">
      <c r="B17" s="1">
        <f t="shared" si="5"/>
        <v>4</v>
      </c>
      <c r="C17" s="2">
        <v>1</v>
      </c>
      <c r="D17" s="3" t="s">
        <v>12</v>
      </c>
      <c r="E17" s="2">
        <v>1</v>
      </c>
      <c r="F17" s="5" t="s">
        <v>25</v>
      </c>
      <c r="G17" s="10" t="s">
        <v>26</v>
      </c>
      <c r="H17" s="3"/>
      <c r="I17" s="3"/>
      <c r="J17" s="3"/>
      <c r="K17" s="13">
        <f t="shared" si="6"/>
        <v>1</v>
      </c>
    </row>
    <row r="18" spans="2:11" ht="100" x14ac:dyDescent="0.35">
      <c r="B18" s="1">
        <f t="shared" si="5"/>
        <v>5</v>
      </c>
      <c r="C18" s="2">
        <v>1</v>
      </c>
      <c r="D18" s="3" t="s">
        <v>12</v>
      </c>
      <c r="E18" s="2">
        <v>1</v>
      </c>
      <c r="F18" s="5" t="s">
        <v>27</v>
      </c>
      <c r="G18" s="10" t="s">
        <v>28</v>
      </c>
      <c r="H18" s="3" t="s">
        <v>29</v>
      </c>
      <c r="I18" s="3" t="s">
        <v>30</v>
      </c>
      <c r="J18" s="3" t="s">
        <v>31</v>
      </c>
      <c r="K18" s="13">
        <f t="shared" si="6"/>
        <v>1</v>
      </c>
    </row>
    <row r="19" spans="2:11" ht="100" x14ac:dyDescent="0.35">
      <c r="B19" s="1">
        <f t="shared" si="5"/>
        <v>6</v>
      </c>
      <c r="C19" s="2">
        <v>1</v>
      </c>
      <c r="D19" s="3" t="s">
        <v>12</v>
      </c>
      <c r="E19" s="2">
        <v>1</v>
      </c>
      <c r="F19" s="5" t="s">
        <v>32</v>
      </c>
      <c r="G19" s="10" t="s">
        <v>33</v>
      </c>
      <c r="H19" s="3" t="s">
        <v>34</v>
      </c>
      <c r="I19" s="3" t="s">
        <v>35</v>
      </c>
      <c r="J19" s="3" t="s">
        <v>36</v>
      </c>
      <c r="K19" s="13">
        <f t="shared" si="6"/>
        <v>1</v>
      </c>
    </row>
    <row r="20" spans="2:11" ht="87.5" x14ac:dyDescent="0.35">
      <c r="B20" s="1">
        <f t="shared" si="5"/>
        <v>7</v>
      </c>
      <c r="C20" s="2">
        <v>1</v>
      </c>
      <c r="D20" s="3" t="s">
        <v>12</v>
      </c>
      <c r="E20" s="2">
        <v>2</v>
      </c>
      <c r="F20" s="5" t="s">
        <v>37</v>
      </c>
      <c r="G20" s="10" t="s">
        <v>38</v>
      </c>
      <c r="H20" s="3" t="s">
        <v>39</v>
      </c>
      <c r="I20" s="3" t="s">
        <v>40</v>
      </c>
      <c r="J20" s="3" t="s">
        <v>41</v>
      </c>
      <c r="K20" s="13">
        <f t="shared" si="6"/>
        <v>2</v>
      </c>
    </row>
    <row r="21" spans="2:11" ht="87.5" x14ac:dyDescent="0.35">
      <c r="B21" s="1">
        <f t="shared" si="5"/>
        <v>8</v>
      </c>
      <c r="C21" s="2">
        <v>1</v>
      </c>
      <c r="D21" s="3" t="s">
        <v>12</v>
      </c>
      <c r="E21" s="2">
        <v>2</v>
      </c>
      <c r="F21" s="5" t="s">
        <v>42</v>
      </c>
      <c r="G21" s="10" t="s">
        <v>43</v>
      </c>
      <c r="H21" s="3" t="s">
        <v>44</v>
      </c>
      <c r="I21" s="3" t="s">
        <v>45</v>
      </c>
      <c r="J21" s="3" t="s">
        <v>46</v>
      </c>
      <c r="K21" s="13">
        <f t="shared" si="6"/>
        <v>2</v>
      </c>
    </row>
    <row r="22" spans="2:11" ht="175" x14ac:dyDescent="0.35">
      <c r="B22" s="1">
        <f t="shared" si="5"/>
        <v>9</v>
      </c>
      <c r="C22" s="2">
        <v>1</v>
      </c>
      <c r="D22" s="3" t="s">
        <v>12</v>
      </c>
      <c r="E22" s="2">
        <v>2</v>
      </c>
      <c r="F22" s="5" t="s">
        <v>47</v>
      </c>
      <c r="G22" s="11" t="s">
        <v>48</v>
      </c>
      <c r="H22" s="8" t="s">
        <v>49</v>
      </c>
      <c r="I22" s="8" t="s">
        <v>50</v>
      </c>
      <c r="J22" s="8" t="s">
        <v>51</v>
      </c>
      <c r="K22" s="13">
        <f t="shared" si="6"/>
        <v>2</v>
      </c>
    </row>
    <row r="23" spans="2:11" ht="87.5" x14ac:dyDescent="0.35">
      <c r="B23" s="1">
        <f t="shared" si="5"/>
        <v>10</v>
      </c>
      <c r="C23" s="2">
        <v>1</v>
      </c>
      <c r="D23" s="3" t="s">
        <v>12</v>
      </c>
      <c r="E23" s="2">
        <v>2</v>
      </c>
      <c r="F23" s="5" t="s">
        <v>52</v>
      </c>
      <c r="G23" s="11" t="s">
        <v>53</v>
      </c>
      <c r="H23" s="8"/>
      <c r="I23" s="8"/>
      <c r="J23" s="8"/>
      <c r="K23" s="13">
        <f t="shared" si="6"/>
        <v>2</v>
      </c>
    </row>
    <row r="24" spans="2:11" ht="87.5" x14ac:dyDescent="0.35">
      <c r="B24" s="1">
        <f t="shared" si="5"/>
        <v>11</v>
      </c>
      <c r="C24" s="2">
        <v>1</v>
      </c>
      <c r="D24" s="3" t="s">
        <v>12</v>
      </c>
      <c r="E24" s="2">
        <v>2</v>
      </c>
      <c r="F24" s="5" t="s">
        <v>54</v>
      </c>
      <c r="G24" s="11" t="s">
        <v>55</v>
      </c>
      <c r="H24" s="8" t="s">
        <v>56</v>
      </c>
      <c r="I24" s="8" t="s">
        <v>57</v>
      </c>
      <c r="J24" s="8" t="s">
        <v>58</v>
      </c>
      <c r="K24" s="13">
        <f t="shared" si="6"/>
        <v>2</v>
      </c>
    </row>
    <row r="25" spans="2:11" ht="87.5" x14ac:dyDescent="0.35">
      <c r="B25" s="1">
        <f t="shared" si="5"/>
        <v>12</v>
      </c>
      <c r="C25" s="2">
        <v>1</v>
      </c>
      <c r="D25" s="3" t="s">
        <v>12</v>
      </c>
      <c r="E25" s="2">
        <v>2</v>
      </c>
      <c r="F25" s="5" t="s">
        <v>59</v>
      </c>
      <c r="G25" s="11" t="s">
        <v>60</v>
      </c>
      <c r="H25" s="8"/>
      <c r="I25" s="8"/>
      <c r="J25" s="8"/>
      <c r="K25" s="13">
        <f t="shared" si="6"/>
        <v>2</v>
      </c>
    </row>
    <row r="26" spans="2:11" ht="87.5" x14ac:dyDescent="0.35">
      <c r="B26" s="1">
        <f t="shared" si="5"/>
        <v>13</v>
      </c>
      <c r="C26" s="2">
        <v>1</v>
      </c>
      <c r="D26" s="3" t="s">
        <v>12</v>
      </c>
      <c r="E26" s="2">
        <v>2</v>
      </c>
      <c r="F26" s="5" t="s">
        <v>61</v>
      </c>
      <c r="G26" s="10" t="s">
        <v>62</v>
      </c>
      <c r="H26" s="3" t="s">
        <v>63</v>
      </c>
      <c r="I26" s="3" t="s">
        <v>64</v>
      </c>
      <c r="J26" s="3"/>
      <c r="K26" s="13">
        <f t="shared" si="6"/>
        <v>2</v>
      </c>
    </row>
    <row r="27" spans="2:11" ht="87.5" x14ac:dyDescent="0.35">
      <c r="B27" s="1">
        <f t="shared" si="5"/>
        <v>14</v>
      </c>
      <c r="C27" s="2">
        <v>1</v>
      </c>
      <c r="D27" s="3" t="s">
        <v>12</v>
      </c>
      <c r="E27" s="2">
        <v>2</v>
      </c>
      <c r="F27" s="5" t="s">
        <v>65</v>
      </c>
      <c r="G27" s="10" t="s">
        <v>66</v>
      </c>
      <c r="H27" s="3" t="s">
        <v>67</v>
      </c>
      <c r="I27" s="3" t="s">
        <v>68</v>
      </c>
      <c r="J27" s="3" t="s">
        <v>69</v>
      </c>
      <c r="K27" s="13">
        <f t="shared" si="6"/>
        <v>2</v>
      </c>
    </row>
    <row r="28" spans="2:11" ht="87.5" x14ac:dyDescent="0.35">
      <c r="B28" s="1">
        <f t="shared" si="5"/>
        <v>15</v>
      </c>
      <c r="C28" s="2">
        <v>1</v>
      </c>
      <c r="D28" s="3" t="s">
        <v>12</v>
      </c>
      <c r="E28" s="2">
        <v>2</v>
      </c>
      <c r="F28" s="5" t="s">
        <v>70</v>
      </c>
      <c r="G28" s="10" t="s">
        <v>71</v>
      </c>
      <c r="H28" s="3"/>
      <c r="I28" s="3"/>
      <c r="J28" s="3"/>
      <c r="K28" s="13">
        <f t="shared" si="6"/>
        <v>2</v>
      </c>
    </row>
    <row r="29" spans="2:11" ht="87.5" x14ac:dyDescent="0.35">
      <c r="B29" s="1">
        <f t="shared" si="5"/>
        <v>16</v>
      </c>
      <c r="C29" s="2">
        <v>1</v>
      </c>
      <c r="D29" s="3" t="s">
        <v>12</v>
      </c>
      <c r="E29" s="2">
        <v>3</v>
      </c>
      <c r="F29" s="5" t="s">
        <v>72</v>
      </c>
      <c r="G29" s="10" t="s">
        <v>73</v>
      </c>
      <c r="H29" s="3"/>
      <c r="I29" s="3"/>
      <c r="J29" s="3"/>
      <c r="K29" s="13">
        <f t="shared" si="6"/>
        <v>3</v>
      </c>
    </row>
    <row r="30" spans="2:11" ht="87.5" x14ac:dyDescent="0.35">
      <c r="B30" s="1">
        <f t="shared" si="5"/>
        <v>17</v>
      </c>
      <c r="C30" s="2">
        <v>1</v>
      </c>
      <c r="D30" s="3" t="s">
        <v>12</v>
      </c>
      <c r="E30" s="2">
        <v>3</v>
      </c>
      <c r="F30" s="5" t="s">
        <v>74</v>
      </c>
      <c r="G30" s="10" t="s">
        <v>75</v>
      </c>
      <c r="H30" s="3" t="s">
        <v>76</v>
      </c>
      <c r="I30" s="3" t="s">
        <v>77</v>
      </c>
      <c r="J30" s="3" t="s">
        <v>78</v>
      </c>
      <c r="K30" s="13">
        <f t="shared" si="6"/>
        <v>3</v>
      </c>
    </row>
    <row r="31" spans="2:11" ht="87.5" x14ac:dyDescent="0.35">
      <c r="B31" s="1">
        <f t="shared" si="5"/>
        <v>18</v>
      </c>
      <c r="C31" s="2">
        <v>1</v>
      </c>
      <c r="D31" s="3" t="s">
        <v>12</v>
      </c>
      <c r="E31" s="2">
        <v>3</v>
      </c>
      <c r="F31" s="5" t="s">
        <v>79</v>
      </c>
      <c r="G31" s="10" t="s">
        <v>80</v>
      </c>
      <c r="H31" s="3" t="s">
        <v>81</v>
      </c>
      <c r="I31" s="3" t="s">
        <v>82</v>
      </c>
      <c r="J31" s="3" t="s">
        <v>83</v>
      </c>
      <c r="K31" s="13">
        <f t="shared" si="6"/>
        <v>3</v>
      </c>
    </row>
    <row r="32" spans="2:11" ht="87.5" x14ac:dyDescent="0.35">
      <c r="B32" s="1">
        <f t="shared" si="5"/>
        <v>19</v>
      </c>
      <c r="C32" s="2">
        <v>1</v>
      </c>
      <c r="D32" s="3" t="s">
        <v>12</v>
      </c>
      <c r="E32" s="2">
        <v>3</v>
      </c>
      <c r="F32" s="5" t="s">
        <v>84</v>
      </c>
      <c r="G32" s="9" t="s">
        <v>85</v>
      </c>
      <c r="H32" s="7" t="s">
        <v>86</v>
      </c>
      <c r="I32" s="7" t="s">
        <v>87</v>
      </c>
      <c r="J32" s="7" t="s">
        <v>88</v>
      </c>
      <c r="K32" s="13">
        <f t="shared" si="6"/>
        <v>3</v>
      </c>
    </row>
    <row r="33" spans="2:11" ht="87.5" x14ac:dyDescent="0.35">
      <c r="B33" s="1">
        <f t="shared" si="5"/>
        <v>20</v>
      </c>
      <c r="C33" s="2">
        <v>1</v>
      </c>
      <c r="D33" s="3" t="s">
        <v>12</v>
      </c>
      <c r="E33" s="2">
        <v>3</v>
      </c>
      <c r="F33" s="5" t="s">
        <v>89</v>
      </c>
      <c r="G33" s="10" t="s">
        <v>90</v>
      </c>
      <c r="H33" s="3" t="s">
        <v>91</v>
      </c>
      <c r="I33" s="3" t="s">
        <v>92</v>
      </c>
      <c r="J33" s="3" t="s">
        <v>93</v>
      </c>
      <c r="K33" s="13">
        <f t="shared" si="6"/>
        <v>3</v>
      </c>
    </row>
    <row r="34" spans="2:11" ht="87.5" x14ac:dyDescent="0.35">
      <c r="B34" s="1">
        <f t="shared" si="5"/>
        <v>21</v>
      </c>
      <c r="C34" s="2">
        <v>1</v>
      </c>
      <c r="D34" s="3" t="s">
        <v>12</v>
      </c>
      <c r="E34" s="2">
        <v>3</v>
      </c>
      <c r="F34" s="5" t="s">
        <v>94</v>
      </c>
      <c r="G34" s="10" t="s">
        <v>95</v>
      </c>
      <c r="H34" s="3" t="s">
        <v>96</v>
      </c>
      <c r="I34" s="3" t="s">
        <v>97</v>
      </c>
      <c r="J34" s="3" t="s">
        <v>98</v>
      </c>
      <c r="K34" s="13">
        <f t="shared" si="6"/>
        <v>3</v>
      </c>
    </row>
    <row r="35" spans="2:11" ht="100" x14ac:dyDescent="0.35">
      <c r="B35" s="1">
        <f>ROW()-ROW($B$13)</f>
        <v>22</v>
      </c>
      <c r="C35" s="2">
        <v>1</v>
      </c>
      <c r="D35" s="3" t="s">
        <v>12</v>
      </c>
      <c r="E35" s="2">
        <v>3</v>
      </c>
      <c r="F35" s="5" t="s">
        <v>99</v>
      </c>
      <c r="G35" s="9" t="s">
        <v>100</v>
      </c>
      <c r="H35" s="7" t="s">
        <v>101</v>
      </c>
      <c r="I35" s="7" t="s">
        <v>102</v>
      </c>
      <c r="J35" s="7" t="s">
        <v>103</v>
      </c>
      <c r="K35" s="13">
        <f t="shared" si="6"/>
        <v>3</v>
      </c>
    </row>
    <row r="36" spans="2:11" ht="87.5" x14ac:dyDescent="0.35">
      <c r="B36" s="1">
        <f t="shared" ref="B36:B55" si="7">ROW()-ROW($B$13)</f>
        <v>23</v>
      </c>
      <c r="C36" s="2">
        <v>1</v>
      </c>
      <c r="D36" s="3" t="s">
        <v>12</v>
      </c>
      <c r="E36" s="2">
        <v>3</v>
      </c>
      <c r="F36" s="5" t="s">
        <v>104</v>
      </c>
      <c r="G36" s="10" t="s">
        <v>105</v>
      </c>
      <c r="H36" s="3" t="s">
        <v>106</v>
      </c>
      <c r="I36" s="3" t="s">
        <v>107</v>
      </c>
      <c r="J36" s="3" t="s">
        <v>108</v>
      </c>
      <c r="K36" s="13">
        <f t="shared" si="6"/>
        <v>3</v>
      </c>
    </row>
    <row r="37" spans="2:11" ht="87.5" x14ac:dyDescent="0.35">
      <c r="B37" s="1">
        <f t="shared" si="7"/>
        <v>24</v>
      </c>
      <c r="C37" s="2">
        <v>1</v>
      </c>
      <c r="D37" s="3" t="s">
        <v>12</v>
      </c>
      <c r="E37" s="2">
        <v>3</v>
      </c>
      <c r="F37" s="5" t="s">
        <v>109</v>
      </c>
      <c r="G37" s="10" t="s">
        <v>110</v>
      </c>
      <c r="H37" s="3"/>
      <c r="I37" s="3"/>
      <c r="J37" s="3"/>
      <c r="K37" s="13">
        <f t="shared" si="6"/>
        <v>3</v>
      </c>
    </row>
    <row r="38" spans="2:11" ht="87.5" x14ac:dyDescent="0.35">
      <c r="B38" s="1">
        <f t="shared" si="7"/>
        <v>25</v>
      </c>
      <c r="C38" s="2">
        <v>1</v>
      </c>
      <c r="D38" s="3" t="s">
        <v>12</v>
      </c>
      <c r="E38" s="2">
        <v>4</v>
      </c>
      <c r="F38" s="5" t="s">
        <v>111</v>
      </c>
      <c r="G38" s="10" t="s">
        <v>112</v>
      </c>
      <c r="H38" s="3"/>
      <c r="I38" s="3"/>
      <c r="J38" s="3"/>
      <c r="K38" s="13">
        <f t="shared" si="6"/>
        <v>4</v>
      </c>
    </row>
    <row r="39" spans="2:11" ht="87.5" x14ac:dyDescent="0.35">
      <c r="B39" s="1">
        <f t="shared" si="7"/>
        <v>26</v>
      </c>
      <c r="C39" s="2">
        <v>1</v>
      </c>
      <c r="D39" s="3" t="s">
        <v>12</v>
      </c>
      <c r="E39" s="2">
        <v>4</v>
      </c>
      <c r="F39" s="5" t="s">
        <v>113</v>
      </c>
      <c r="G39" s="10" t="s">
        <v>114</v>
      </c>
      <c r="H39" s="3" t="s">
        <v>115</v>
      </c>
      <c r="I39" s="3" t="s">
        <v>116</v>
      </c>
      <c r="J39" s="3" t="s">
        <v>117</v>
      </c>
      <c r="K39" s="13">
        <f t="shared" si="6"/>
        <v>4</v>
      </c>
    </row>
    <row r="40" spans="2:11" ht="100" x14ac:dyDescent="0.35">
      <c r="B40" s="1">
        <f t="shared" si="7"/>
        <v>27</v>
      </c>
      <c r="C40" s="2">
        <v>1</v>
      </c>
      <c r="D40" s="3" t="s">
        <v>12</v>
      </c>
      <c r="E40" s="2">
        <v>4</v>
      </c>
      <c r="F40" s="5" t="s">
        <v>118</v>
      </c>
      <c r="G40" s="10" t="s">
        <v>119</v>
      </c>
      <c r="H40" s="3" t="s">
        <v>120</v>
      </c>
      <c r="I40" s="3" t="s">
        <v>121</v>
      </c>
      <c r="J40" s="3" t="s">
        <v>122</v>
      </c>
      <c r="K40" s="13">
        <f t="shared" si="6"/>
        <v>4</v>
      </c>
    </row>
    <row r="41" spans="2:11" ht="87.5" x14ac:dyDescent="0.35">
      <c r="B41" s="1">
        <f t="shared" si="7"/>
        <v>28</v>
      </c>
      <c r="C41" s="2">
        <v>1</v>
      </c>
      <c r="D41" s="3" t="s">
        <v>12</v>
      </c>
      <c r="E41" s="2">
        <v>4</v>
      </c>
      <c r="F41" s="5" t="s">
        <v>123</v>
      </c>
      <c r="G41" s="10" t="s">
        <v>124</v>
      </c>
      <c r="H41" s="3" t="s">
        <v>125</v>
      </c>
      <c r="I41" s="3" t="s">
        <v>126</v>
      </c>
      <c r="J41" s="3" t="s">
        <v>127</v>
      </c>
      <c r="K41" s="13">
        <f t="shared" si="6"/>
        <v>4</v>
      </c>
    </row>
    <row r="42" spans="2:11" ht="112.5" x14ac:dyDescent="0.35">
      <c r="B42" s="1">
        <f t="shared" si="7"/>
        <v>29</v>
      </c>
      <c r="C42" s="2">
        <v>1</v>
      </c>
      <c r="D42" s="3" t="s">
        <v>12</v>
      </c>
      <c r="E42" s="2">
        <v>4</v>
      </c>
      <c r="F42" s="5" t="s">
        <v>128</v>
      </c>
      <c r="G42" s="10" t="s">
        <v>129</v>
      </c>
      <c r="H42" s="3"/>
      <c r="I42" s="3"/>
      <c r="J42" s="3"/>
      <c r="K42" s="13">
        <f t="shared" si="6"/>
        <v>4</v>
      </c>
    </row>
    <row r="43" spans="2:11" ht="150" x14ac:dyDescent="0.35">
      <c r="B43" s="1">
        <f t="shared" si="7"/>
        <v>30</v>
      </c>
      <c r="C43" s="2">
        <v>1</v>
      </c>
      <c r="D43" s="3" t="s">
        <v>12</v>
      </c>
      <c r="E43" s="2">
        <v>4</v>
      </c>
      <c r="F43" s="5" t="s">
        <v>130</v>
      </c>
      <c r="G43" s="11" t="s">
        <v>131</v>
      </c>
      <c r="H43" s="8" t="s">
        <v>132</v>
      </c>
      <c r="I43" s="8" t="s">
        <v>133</v>
      </c>
      <c r="J43" s="8" t="s">
        <v>134</v>
      </c>
      <c r="K43" s="13">
        <f t="shared" si="6"/>
        <v>4</v>
      </c>
    </row>
    <row r="44" spans="2:11" ht="87.5" x14ac:dyDescent="0.35">
      <c r="B44" s="1">
        <f t="shared" si="7"/>
        <v>31</v>
      </c>
      <c r="C44" s="2">
        <v>1</v>
      </c>
      <c r="D44" s="3" t="s">
        <v>12</v>
      </c>
      <c r="E44" s="2">
        <v>4</v>
      </c>
      <c r="F44" s="5" t="s">
        <v>135</v>
      </c>
      <c r="G44" s="11" t="s">
        <v>136</v>
      </c>
      <c r="H44" s="8"/>
      <c r="I44" s="8"/>
      <c r="J44" s="8"/>
      <c r="K44" s="13">
        <f t="shared" si="6"/>
        <v>4</v>
      </c>
    </row>
    <row r="45" spans="2:11" ht="75" x14ac:dyDescent="0.35">
      <c r="B45" s="1">
        <f t="shared" si="7"/>
        <v>32</v>
      </c>
      <c r="C45" s="2">
        <v>2</v>
      </c>
      <c r="D45" s="3" t="s">
        <v>137</v>
      </c>
      <c r="E45" s="2">
        <v>1</v>
      </c>
      <c r="F45" s="5" t="s">
        <v>138</v>
      </c>
      <c r="G45" s="11" t="s">
        <v>139</v>
      </c>
      <c r="H45" s="8" t="s">
        <v>140</v>
      </c>
      <c r="I45" s="8" t="s">
        <v>141</v>
      </c>
      <c r="J45" s="8" t="s">
        <v>142</v>
      </c>
      <c r="K45" s="13">
        <f t="shared" si="6"/>
        <v>1</v>
      </c>
    </row>
    <row r="46" spans="2:11" ht="75" x14ac:dyDescent="0.35">
      <c r="B46" s="1">
        <f t="shared" si="7"/>
        <v>33</v>
      </c>
      <c r="C46" s="2">
        <v>2</v>
      </c>
      <c r="D46" s="3" t="s">
        <v>137</v>
      </c>
      <c r="E46" s="2">
        <v>1</v>
      </c>
      <c r="F46" s="5" t="s">
        <v>143</v>
      </c>
      <c r="G46" s="11"/>
      <c r="H46" s="8"/>
      <c r="I46" s="8"/>
      <c r="J46" s="8"/>
      <c r="K46" s="13">
        <f t="shared" si="6"/>
        <v>1</v>
      </c>
    </row>
    <row r="47" spans="2:11" ht="75" x14ac:dyDescent="0.35">
      <c r="B47" s="1">
        <f t="shared" si="7"/>
        <v>34</v>
      </c>
      <c r="C47" s="2">
        <v>2</v>
      </c>
      <c r="D47" s="3" t="s">
        <v>137</v>
      </c>
      <c r="E47" s="2">
        <v>1</v>
      </c>
      <c r="F47" s="5" t="s">
        <v>144</v>
      </c>
      <c r="G47" s="10" t="s">
        <v>145</v>
      </c>
      <c r="H47" s="3" t="s">
        <v>146</v>
      </c>
      <c r="I47" s="3" t="s">
        <v>147</v>
      </c>
      <c r="J47" s="3" t="s">
        <v>148</v>
      </c>
      <c r="K47" s="13">
        <f t="shared" si="6"/>
        <v>1</v>
      </c>
    </row>
    <row r="48" spans="2:11" ht="75" x14ac:dyDescent="0.35">
      <c r="B48" s="1">
        <f t="shared" si="7"/>
        <v>35</v>
      </c>
      <c r="C48" s="2">
        <v>2</v>
      </c>
      <c r="D48" s="3" t="s">
        <v>137</v>
      </c>
      <c r="E48" s="2">
        <v>1</v>
      </c>
      <c r="F48" s="5" t="s">
        <v>149</v>
      </c>
      <c r="G48" s="10" t="s">
        <v>150</v>
      </c>
      <c r="H48" s="3"/>
      <c r="I48" s="3"/>
      <c r="J48" s="3"/>
      <c r="K48" s="13">
        <f t="shared" si="6"/>
        <v>1</v>
      </c>
    </row>
    <row r="49" spans="2:11" ht="75" x14ac:dyDescent="0.35">
      <c r="B49" s="1">
        <f t="shared" si="7"/>
        <v>36</v>
      </c>
      <c r="C49" s="2">
        <v>2</v>
      </c>
      <c r="D49" s="3" t="s">
        <v>137</v>
      </c>
      <c r="E49" s="2">
        <v>1</v>
      </c>
      <c r="F49" s="5" t="s">
        <v>151</v>
      </c>
      <c r="G49" s="10" t="s">
        <v>152</v>
      </c>
      <c r="H49" s="3" t="s">
        <v>153</v>
      </c>
      <c r="I49" s="3" t="s">
        <v>154</v>
      </c>
      <c r="J49" s="3"/>
      <c r="K49" s="13">
        <f t="shared" si="6"/>
        <v>1</v>
      </c>
    </row>
    <row r="50" spans="2:11" ht="75" x14ac:dyDescent="0.35">
      <c r="B50" s="1">
        <f t="shared" si="7"/>
        <v>37</v>
      </c>
      <c r="C50" s="2">
        <v>2</v>
      </c>
      <c r="D50" s="3" t="s">
        <v>137</v>
      </c>
      <c r="E50" s="2">
        <v>1</v>
      </c>
      <c r="F50" s="5" t="s">
        <v>151</v>
      </c>
      <c r="G50" s="10" t="s">
        <v>155</v>
      </c>
      <c r="H50" s="3" t="s">
        <v>156</v>
      </c>
      <c r="I50" s="3" t="s">
        <v>157</v>
      </c>
      <c r="J50" s="3" t="s">
        <v>158</v>
      </c>
      <c r="K50" s="13">
        <f t="shared" si="6"/>
        <v>1</v>
      </c>
    </row>
    <row r="51" spans="2:11" ht="100" x14ac:dyDescent="0.35">
      <c r="B51" s="1">
        <f t="shared" si="7"/>
        <v>38</v>
      </c>
      <c r="C51" s="2">
        <v>2</v>
      </c>
      <c r="D51" s="3" t="s">
        <v>137</v>
      </c>
      <c r="E51" s="2">
        <v>1</v>
      </c>
      <c r="F51" s="5" t="s">
        <v>159</v>
      </c>
      <c r="G51" s="10" t="s">
        <v>160</v>
      </c>
      <c r="H51" s="3" t="s">
        <v>161</v>
      </c>
      <c r="I51" s="3" t="s">
        <v>162</v>
      </c>
      <c r="J51" s="3" t="s">
        <v>163</v>
      </c>
      <c r="K51" s="13">
        <f t="shared" si="6"/>
        <v>1</v>
      </c>
    </row>
    <row r="52" spans="2:11" ht="75" x14ac:dyDescent="0.35">
      <c r="B52" s="1">
        <f t="shared" si="7"/>
        <v>39</v>
      </c>
      <c r="C52" s="2">
        <v>2</v>
      </c>
      <c r="D52" s="3" t="s">
        <v>137</v>
      </c>
      <c r="E52" s="2">
        <v>1</v>
      </c>
      <c r="F52" s="5" t="s">
        <v>164</v>
      </c>
      <c r="G52" s="10" t="s">
        <v>165</v>
      </c>
      <c r="H52" s="3"/>
      <c r="I52" s="3"/>
      <c r="J52" s="3"/>
      <c r="K52" s="13">
        <f t="shared" si="6"/>
        <v>1</v>
      </c>
    </row>
    <row r="53" spans="2:11" ht="75" x14ac:dyDescent="0.35">
      <c r="B53" s="1">
        <f t="shared" si="7"/>
        <v>40</v>
      </c>
      <c r="C53" s="2">
        <v>2</v>
      </c>
      <c r="D53" s="3" t="s">
        <v>137</v>
      </c>
      <c r="E53" s="2">
        <v>2</v>
      </c>
      <c r="F53" s="5" t="s">
        <v>166</v>
      </c>
      <c r="G53" s="9" t="s">
        <v>167</v>
      </c>
      <c r="H53" s="7" t="s">
        <v>168</v>
      </c>
      <c r="I53" s="7" t="s">
        <v>169</v>
      </c>
      <c r="J53" s="7" t="s">
        <v>170</v>
      </c>
      <c r="K53" s="13">
        <f t="shared" si="6"/>
        <v>2</v>
      </c>
    </row>
    <row r="54" spans="2:11" ht="75" x14ac:dyDescent="0.35">
      <c r="B54" s="1">
        <f t="shared" si="7"/>
        <v>41</v>
      </c>
      <c r="C54" s="2">
        <v>2</v>
      </c>
      <c r="D54" s="3" t="s">
        <v>137</v>
      </c>
      <c r="E54" s="2">
        <v>2</v>
      </c>
      <c r="F54" s="5" t="s">
        <v>171</v>
      </c>
      <c r="G54" s="10" t="s">
        <v>172</v>
      </c>
      <c r="H54" s="3"/>
      <c r="I54" s="3"/>
      <c r="J54" s="3"/>
      <c r="K54" s="13">
        <f t="shared" si="6"/>
        <v>2</v>
      </c>
    </row>
    <row r="55" spans="2:11" ht="75" x14ac:dyDescent="0.35">
      <c r="B55" s="1">
        <f t="shared" si="7"/>
        <v>42</v>
      </c>
      <c r="C55" s="2">
        <v>2</v>
      </c>
      <c r="D55" s="3" t="s">
        <v>137</v>
      </c>
      <c r="E55" s="2">
        <v>2</v>
      </c>
      <c r="F55" s="5" t="s">
        <v>173</v>
      </c>
      <c r="G55" s="10" t="s">
        <v>174</v>
      </c>
      <c r="H55" s="3" t="s">
        <v>175</v>
      </c>
      <c r="I55" s="3" t="s">
        <v>176</v>
      </c>
      <c r="J55" s="3" t="s">
        <v>177</v>
      </c>
      <c r="K55" s="13">
        <f t="shared" si="6"/>
        <v>2</v>
      </c>
    </row>
    <row r="56" spans="2:11" ht="75" x14ac:dyDescent="0.35">
      <c r="B56" s="1">
        <f>ROW()-ROW($B$13)</f>
        <v>43</v>
      </c>
      <c r="C56" s="2">
        <v>2</v>
      </c>
      <c r="D56" s="3" t="s">
        <v>137</v>
      </c>
      <c r="E56" s="2">
        <v>2</v>
      </c>
      <c r="F56" s="5" t="s">
        <v>178</v>
      </c>
      <c r="G56" s="9" t="s">
        <v>179</v>
      </c>
      <c r="H56" s="7"/>
      <c r="I56" s="7"/>
      <c r="J56" s="7"/>
      <c r="K56" s="13">
        <f t="shared" si="6"/>
        <v>2</v>
      </c>
    </row>
    <row r="57" spans="2:11" ht="75" x14ac:dyDescent="0.35">
      <c r="B57" s="1">
        <f t="shared" ref="B57:B76" si="8">ROW()-ROW($B$13)</f>
        <v>44</v>
      </c>
      <c r="C57" s="2">
        <v>2</v>
      </c>
      <c r="D57" s="3" t="s">
        <v>137</v>
      </c>
      <c r="E57" s="2">
        <v>2</v>
      </c>
      <c r="F57" s="5" t="s">
        <v>180</v>
      </c>
      <c r="G57" s="10" t="s">
        <v>181</v>
      </c>
      <c r="H57" s="3" t="s">
        <v>182</v>
      </c>
      <c r="I57" s="3" t="s">
        <v>183</v>
      </c>
      <c r="J57" s="3" t="s">
        <v>184</v>
      </c>
      <c r="K57" s="13">
        <f t="shared" si="6"/>
        <v>2</v>
      </c>
    </row>
    <row r="58" spans="2:11" ht="75" x14ac:dyDescent="0.35">
      <c r="B58" s="1">
        <f t="shared" si="8"/>
        <v>45</v>
      </c>
      <c r="C58" s="2">
        <v>2</v>
      </c>
      <c r="D58" s="3" t="s">
        <v>137</v>
      </c>
      <c r="E58" s="2">
        <v>2</v>
      </c>
      <c r="F58" s="5" t="s">
        <v>185</v>
      </c>
      <c r="G58" s="10" t="s">
        <v>186</v>
      </c>
      <c r="H58" s="3" t="s">
        <v>187</v>
      </c>
      <c r="I58" s="3" t="s">
        <v>188</v>
      </c>
      <c r="J58" s="3" t="s">
        <v>189</v>
      </c>
      <c r="K58" s="13">
        <f t="shared" si="6"/>
        <v>2</v>
      </c>
    </row>
    <row r="59" spans="2:11" ht="75" x14ac:dyDescent="0.35">
      <c r="B59" s="1">
        <f t="shared" si="8"/>
        <v>46</v>
      </c>
      <c r="C59" s="2">
        <v>2</v>
      </c>
      <c r="D59" s="3" t="s">
        <v>137</v>
      </c>
      <c r="E59" s="2">
        <v>2</v>
      </c>
      <c r="F59" s="5" t="s">
        <v>190</v>
      </c>
      <c r="G59" s="10" t="s">
        <v>191</v>
      </c>
      <c r="H59" s="3" t="s">
        <v>192</v>
      </c>
      <c r="I59" s="3" t="s">
        <v>193</v>
      </c>
      <c r="J59" s="3"/>
      <c r="K59" s="13">
        <f t="shared" si="6"/>
        <v>2</v>
      </c>
    </row>
    <row r="60" spans="2:11" ht="75" x14ac:dyDescent="0.35">
      <c r="B60" s="1">
        <f t="shared" si="8"/>
        <v>47</v>
      </c>
      <c r="C60" s="2">
        <v>2</v>
      </c>
      <c r="D60" s="3" t="s">
        <v>137</v>
      </c>
      <c r="E60" s="2">
        <v>2</v>
      </c>
      <c r="F60" s="5" t="s">
        <v>190</v>
      </c>
      <c r="G60" s="10" t="s">
        <v>194</v>
      </c>
      <c r="H60" s="3" t="s">
        <v>195</v>
      </c>
      <c r="I60" s="3" t="s">
        <v>196</v>
      </c>
      <c r="J60" s="3" t="s">
        <v>197</v>
      </c>
      <c r="K60" s="13">
        <f t="shared" si="6"/>
        <v>2</v>
      </c>
    </row>
    <row r="61" spans="2:11" ht="137.5" x14ac:dyDescent="0.35">
      <c r="B61" s="1">
        <f t="shared" si="8"/>
        <v>48</v>
      </c>
      <c r="C61" s="2">
        <v>2</v>
      </c>
      <c r="D61" s="3" t="s">
        <v>137</v>
      </c>
      <c r="E61" s="2">
        <v>3</v>
      </c>
      <c r="F61" s="5" t="s">
        <v>198</v>
      </c>
      <c r="G61" s="10" t="s">
        <v>199</v>
      </c>
      <c r="H61" s="3" t="s">
        <v>200</v>
      </c>
      <c r="I61" s="3" t="s">
        <v>201</v>
      </c>
      <c r="J61" s="3" t="s">
        <v>202</v>
      </c>
      <c r="K61" s="13">
        <f t="shared" si="6"/>
        <v>3</v>
      </c>
    </row>
    <row r="62" spans="2:11" ht="75" x14ac:dyDescent="0.35">
      <c r="B62" s="1">
        <f t="shared" si="8"/>
        <v>49</v>
      </c>
      <c r="C62" s="2">
        <v>2</v>
      </c>
      <c r="D62" s="3" t="s">
        <v>137</v>
      </c>
      <c r="E62" s="2">
        <v>3</v>
      </c>
      <c r="F62" s="5" t="s">
        <v>203</v>
      </c>
      <c r="G62" s="10" t="s">
        <v>204</v>
      </c>
      <c r="H62" s="3"/>
      <c r="I62" s="3"/>
      <c r="J62" s="3"/>
      <c r="K62" s="13">
        <f t="shared" si="6"/>
        <v>3</v>
      </c>
    </row>
    <row r="63" spans="2:11" ht="75" x14ac:dyDescent="0.35">
      <c r="B63" s="1">
        <f t="shared" si="8"/>
        <v>50</v>
      </c>
      <c r="C63" s="2">
        <v>2</v>
      </c>
      <c r="D63" s="3" t="s">
        <v>137</v>
      </c>
      <c r="E63" s="2">
        <v>3</v>
      </c>
      <c r="F63" s="5" t="s">
        <v>205</v>
      </c>
      <c r="G63" s="10" t="s">
        <v>206</v>
      </c>
      <c r="H63" s="3"/>
      <c r="I63" s="3"/>
      <c r="J63" s="3"/>
      <c r="K63" s="13">
        <f t="shared" si="6"/>
        <v>3</v>
      </c>
    </row>
    <row r="64" spans="2:11" ht="162.5" x14ac:dyDescent="0.35">
      <c r="B64" s="1">
        <f t="shared" si="8"/>
        <v>51</v>
      </c>
      <c r="C64" s="2">
        <v>2</v>
      </c>
      <c r="D64" s="3" t="s">
        <v>137</v>
      </c>
      <c r="E64" s="2">
        <v>3</v>
      </c>
      <c r="F64" s="5" t="s">
        <v>207</v>
      </c>
      <c r="G64" s="11" t="s">
        <v>208</v>
      </c>
      <c r="H64" s="8" t="s">
        <v>209</v>
      </c>
      <c r="I64" s="8" t="s">
        <v>210</v>
      </c>
      <c r="J64" s="8" t="s">
        <v>211</v>
      </c>
      <c r="K64" s="13">
        <f t="shared" si="6"/>
        <v>3</v>
      </c>
    </row>
    <row r="65" spans="2:11" ht="75" x14ac:dyDescent="0.35">
      <c r="B65" s="1">
        <f t="shared" si="8"/>
        <v>52</v>
      </c>
      <c r="C65" s="2">
        <v>2</v>
      </c>
      <c r="D65" s="3" t="s">
        <v>137</v>
      </c>
      <c r="E65" s="2">
        <v>3</v>
      </c>
      <c r="F65" s="5" t="s">
        <v>212</v>
      </c>
      <c r="G65" s="11" t="s">
        <v>213</v>
      </c>
      <c r="H65" s="8"/>
      <c r="I65" s="8"/>
      <c r="J65" s="8"/>
      <c r="K65" s="13">
        <f t="shared" si="6"/>
        <v>3</v>
      </c>
    </row>
    <row r="66" spans="2:11" ht="75" x14ac:dyDescent="0.35">
      <c r="B66" s="1">
        <f t="shared" si="8"/>
        <v>53</v>
      </c>
      <c r="C66" s="2">
        <v>2</v>
      </c>
      <c r="D66" s="3" t="s">
        <v>137</v>
      </c>
      <c r="E66" s="2">
        <v>3</v>
      </c>
      <c r="F66" s="5" t="s">
        <v>214</v>
      </c>
      <c r="G66" s="11" t="s">
        <v>215</v>
      </c>
      <c r="H66" s="8" t="s">
        <v>216</v>
      </c>
      <c r="I66" s="8" t="s">
        <v>217</v>
      </c>
      <c r="J66" s="8" t="s">
        <v>218</v>
      </c>
      <c r="K66" s="13">
        <f t="shared" si="6"/>
        <v>3</v>
      </c>
    </row>
    <row r="67" spans="2:11" ht="75" x14ac:dyDescent="0.35">
      <c r="B67" s="1">
        <f t="shared" si="8"/>
        <v>54</v>
      </c>
      <c r="C67" s="2">
        <v>2</v>
      </c>
      <c r="D67" s="3" t="s">
        <v>137</v>
      </c>
      <c r="E67" s="2">
        <v>3</v>
      </c>
      <c r="F67" s="5" t="s">
        <v>219</v>
      </c>
      <c r="G67" s="11" t="s">
        <v>220</v>
      </c>
      <c r="H67" s="8" t="s">
        <v>221</v>
      </c>
      <c r="I67" s="8" t="s">
        <v>222</v>
      </c>
      <c r="J67" s="8" t="s">
        <v>223</v>
      </c>
      <c r="K67" s="13">
        <f t="shared" si="6"/>
        <v>3</v>
      </c>
    </row>
    <row r="68" spans="2:11" ht="75" x14ac:dyDescent="0.35">
      <c r="B68" s="1">
        <f t="shared" si="8"/>
        <v>55</v>
      </c>
      <c r="C68" s="2">
        <v>2</v>
      </c>
      <c r="D68" s="3" t="s">
        <v>137</v>
      </c>
      <c r="E68" s="2">
        <v>4</v>
      </c>
      <c r="F68" s="5" t="s">
        <v>224</v>
      </c>
      <c r="G68" s="10" t="s">
        <v>225</v>
      </c>
      <c r="H68" s="3" t="s">
        <v>226</v>
      </c>
      <c r="I68" s="3" t="s">
        <v>227</v>
      </c>
      <c r="J68" s="3" t="s">
        <v>228</v>
      </c>
      <c r="K68" s="13">
        <f t="shared" si="6"/>
        <v>4</v>
      </c>
    </row>
    <row r="69" spans="2:11" ht="137.5" x14ac:dyDescent="0.35">
      <c r="B69" s="1">
        <f t="shared" si="8"/>
        <v>56</v>
      </c>
      <c r="C69" s="2">
        <v>2</v>
      </c>
      <c r="D69" s="3" t="s">
        <v>137</v>
      </c>
      <c r="E69" s="2">
        <v>4</v>
      </c>
      <c r="F69" s="5" t="s">
        <v>229</v>
      </c>
      <c r="G69" s="10" t="s">
        <v>230</v>
      </c>
      <c r="H69" s="3" t="s">
        <v>231</v>
      </c>
      <c r="I69" s="3" t="s">
        <v>230</v>
      </c>
      <c r="J69" s="3" t="s">
        <v>232</v>
      </c>
      <c r="K69" s="13">
        <f t="shared" si="6"/>
        <v>4</v>
      </c>
    </row>
    <row r="70" spans="2:11" ht="75" x14ac:dyDescent="0.35">
      <c r="B70" s="1">
        <f t="shared" si="8"/>
        <v>57</v>
      </c>
      <c r="C70" s="2">
        <v>2</v>
      </c>
      <c r="D70" s="3" t="s">
        <v>137</v>
      </c>
      <c r="E70" s="2">
        <v>4</v>
      </c>
      <c r="F70" s="5" t="s">
        <v>233</v>
      </c>
      <c r="G70" s="10" t="s">
        <v>234</v>
      </c>
      <c r="H70" s="3" t="s">
        <v>235</v>
      </c>
      <c r="I70" s="3" t="s">
        <v>236</v>
      </c>
      <c r="J70" s="3" t="s">
        <v>237</v>
      </c>
      <c r="K70" s="13">
        <f t="shared" si="6"/>
        <v>4</v>
      </c>
    </row>
    <row r="71" spans="2:11" ht="75" x14ac:dyDescent="0.35">
      <c r="B71" s="1">
        <f t="shared" si="8"/>
        <v>58</v>
      </c>
      <c r="C71" s="2">
        <v>2</v>
      </c>
      <c r="D71" s="3" t="s">
        <v>137</v>
      </c>
      <c r="E71" s="2">
        <v>4</v>
      </c>
      <c r="F71" s="5" t="s">
        <v>238</v>
      </c>
      <c r="G71" s="10" t="s">
        <v>239</v>
      </c>
      <c r="H71" s="3"/>
      <c r="I71" s="3"/>
      <c r="J71" s="3"/>
      <c r="K71" s="13">
        <f t="shared" si="6"/>
        <v>4</v>
      </c>
    </row>
    <row r="72" spans="2:11" ht="75" x14ac:dyDescent="0.35">
      <c r="B72" s="1">
        <f t="shared" si="8"/>
        <v>59</v>
      </c>
      <c r="C72" s="2">
        <v>2</v>
      </c>
      <c r="D72" s="3" t="s">
        <v>137</v>
      </c>
      <c r="E72" s="2">
        <v>4</v>
      </c>
      <c r="F72" s="5" t="s">
        <v>240</v>
      </c>
      <c r="G72" s="10" t="s">
        <v>241</v>
      </c>
      <c r="H72" s="3" t="s">
        <v>242</v>
      </c>
      <c r="I72" s="3" t="s">
        <v>243</v>
      </c>
      <c r="J72" s="3" t="s">
        <v>244</v>
      </c>
      <c r="K72" s="13">
        <f t="shared" si="6"/>
        <v>4</v>
      </c>
    </row>
    <row r="73" spans="2:11" ht="75" x14ac:dyDescent="0.35">
      <c r="B73" s="1">
        <f t="shared" si="8"/>
        <v>60</v>
      </c>
      <c r="C73" s="2">
        <v>2</v>
      </c>
      <c r="D73" s="3" t="s">
        <v>137</v>
      </c>
      <c r="E73" s="2">
        <v>4</v>
      </c>
      <c r="F73" s="5" t="s">
        <v>245</v>
      </c>
      <c r="G73" s="10" t="s">
        <v>246</v>
      </c>
      <c r="H73" s="3"/>
      <c r="I73" s="3"/>
      <c r="J73" s="3"/>
      <c r="K73" s="13">
        <f t="shared" si="6"/>
        <v>4</v>
      </c>
    </row>
    <row r="74" spans="2:11" ht="50" x14ac:dyDescent="0.35">
      <c r="B74" s="1">
        <f t="shared" si="8"/>
        <v>61</v>
      </c>
      <c r="C74" s="2">
        <v>3</v>
      </c>
      <c r="D74" s="3" t="s">
        <v>247</v>
      </c>
      <c r="E74" s="2">
        <v>1</v>
      </c>
      <c r="F74" s="5" t="s">
        <v>248</v>
      </c>
      <c r="G74" s="9" t="s">
        <v>249</v>
      </c>
      <c r="H74" s="7" t="s">
        <v>250</v>
      </c>
      <c r="I74" s="7" t="s">
        <v>251</v>
      </c>
      <c r="J74" s="7" t="s">
        <v>252</v>
      </c>
      <c r="K74" s="13">
        <f t="shared" si="6"/>
        <v>1</v>
      </c>
    </row>
    <row r="75" spans="2:11" ht="125" x14ac:dyDescent="0.35">
      <c r="B75" s="1">
        <f t="shared" si="8"/>
        <v>62</v>
      </c>
      <c r="C75" s="2">
        <v>3</v>
      </c>
      <c r="D75" s="3" t="s">
        <v>247</v>
      </c>
      <c r="E75" s="2">
        <v>1</v>
      </c>
      <c r="F75" s="5" t="s">
        <v>253</v>
      </c>
      <c r="G75" s="10" t="s">
        <v>254</v>
      </c>
      <c r="H75" s="3" t="s">
        <v>255</v>
      </c>
      <c r="I75" s="3" t="s">
        <v>256</v>
      </c>
      <c r="J75" s="3" t="s">
        <v>257</v>
      </c>
      <c r="K75" s="13">
        <f t="shared" si="6"/>
        <v>1</v>
      </c>
    </row>
    <row r="76" spans="2:11" ht="50" x14ac:dyDescent="0.35">
      <c r="B76" s="1">
        <f t="shared" si="8"/>
        <v>63</v>
      </c>
      <c r="C76" s="2">
        <v>3</v>
      </c>
      <c r="D76" s="3" t="s">
        <v>247</v>
      </c>
      <c r="E76" s="2">
        <v>1</v>
      </c>
      <c r="F76" s="5" t="s">
        <v>258</v>
      </c>
      <c r="G76" s="10" t="s">
        <v>259</v>
      </c>
      <c r="H76" s="3" t="s">
        <v>260</v>
      </c>
      <c r="I76" s="3" t="s">
        <v>261</v>
      </c>
      <c r="J76" s="3" t="s">
        <v>262</v>
      </c>
      <c r="K76" s="13">
        <f t="shared" si="6"/>
        <v>1</v>
      </c>
    </row>
    <row r="77" spans="2:11" ht="50" x14ac:dyDescent="0.35">
      <c r="B77" s="1">
        <f>ROW()-ROW($B$13)</f>
        <v>64</v>
      </c>
      <c r="C77" s="2">
        <v>3</v>
      </c>
      <c r="D77" s="3" t="s">
        <v>247</v>
      </c>
      <c r="E77" s="2">
        <v>1</v>
      </c>
      <c r="F77" s="5" t="s">
        <v>263</v>
      </c>
      <c r="G77" s="9" t="s">
        <v>264</v>
      </c>
      <c r="H77" s="7"/>
      <c r="I77" s="7"/>
      <c r="J77" s="7"/>
      <c r="K77" s="13">
        <f t="shared" si="6"/>
        <v>1</v>
      </c>
    </row>
    <row r="78" spans="2:11" ht="50" x14ac:dyDescent="0.35">
      <c r="B78" s="1">
        <f t="shared" ref="B78:B113" si="9">ROW()-ROW($B$13)</f>
        <v>65</v>
      </c>
      <c r="C78" s="2">
        <v>3</v>
      </c>
      <c r="D78" s="3" t="s">
        <v>247</v>
      </c>
      <c r="E78" s="2">
        <v>1</v>
      </c>
      <c r="F78" s="5" t="s">
        <v>265</v>
      </c>
      <c r="G78" s="10" t="s">
        <v>266</v>
      </c>
      <c r="H78" s="3" t="s">
        <v>267</v>
      </c>
      <c r="I78" s="3" t="s">
        <v>268</v>
      </c>
      <c r="J78" s="3" t="s">
        <v>269</v>
      </c>
      <c r="K78" s="13">
        <f t="shared" si="6"/>
        <v>1</v>
      </c>
    </row>
    <row r="79" spans="2:11" ht="50" x14ac:dyDescent="0.35">
      <c r="B79" s="1">
        <f t="shared" si="9"/>
        <v>66</v>
      </c>
      <c r="C79" s="2">
        <v>3</v>
      </c>
      <c r="D79" s="3" t="s">
        <v>247</v>
      </c>
      <c r="E79" s="2">
        <v>1</v>
      </c>
      <c r="F79" s="5" t="s">
        <v>270</v>
      </c>
      <c r="G79" s="10" t="s">
        <v>271</v>
      </c>
      <c r="H79" s="3"/>
      <c r="I79" s="3"/>
      <c r="J79" s="3"/>
      <c r="K79" s="13">
        <f t="shared" ref="K79:K100" si="10">E79</f>
        <v>1</v>
      </c>
    </row>
    <row r="80" spans="2:11" ht="50" x14ac:dyDescent="0.35">
      <c r="B80" s="1">
        <f t="shared" si="9"/>
        <v>67</v>
      </c>
      <c r="C80" s="2">
        <v>3</v>
      </c>
      <c r="D80" s="3" t="s">
        <v>247</v>
      </c>
      <c r="E80" s="2">
        <v>2</v>
      </c>
      <c r="F80" s="5" t="s">
        <v>272</v>
      </c>
      <c r="G80" s="10" t="s">
        <v>273</v>
      </c>
      <c r="H80" s="3" t="s">
        <v>274</v>
      </c>
      <c r="I80" s="3" t="s">
        <v>255</v>
      </c>
      <c r="J80" s="3" t="s">
        <v>275</v>
      </c>
      <c r="K80" s="13">
        <f t="shared" si="10"/>
        <v>2</v>
      </c>
    </row>
    <row r="81" spans="2:11" ht="50" x14ac:dyDescent="0.35">
      <c r="B81" s="1">
        <f t="shared" si="9"/>
        <v>68</v>
      </c>
      <c r="C81" s="2">
        <v>3</v>
      </c>
      <c r="D81" s="3" t="s">
        <v>247</v>
      </c>
      <c r="E81" s="2">
        <v>2</v>
      </c>
      <c r="F81" s="5" t="s">
        <v>276</v>
      </c>
      <c r="G81" s="10" t="s">
        <v>277</v>
      </c>
      <c r="H81" s="3" t="s">
        <v>278</v>
      </c>
      <c r="I81" s="3" t="s">
        <v>279</v>
      </c>
      <c r="J81" s="3" t="s">
        <v>280</v>
      </c>
      <c r="K81" s="13">
        <f t="shared" si="10"/>
        <v>2</v>
      </c>
    </row>
    <row r="82" spans="2:11" ht="50" x14ac:dyDescent="0.35">
      <c r="B82" s="1">
        <f t="shared" si="9"/>
        <v>69</v>
      </c>
      <c r="C82" s="2">
        <v>3</v>
      </c>
      <c r="D82" s="3" t="s">
        <v>247</v>
      </c>
      <c r="E82" s="2">
        <v>2</v>
      </c>
      <c r="F82" s="5" t="s">
        <v>281</v>
      </c>
      <c r="G82" s="10" t="s">
        <v>282</v>
      </c>
      <c r="H82" s="3"/>
      <c r="I82" s="3"/>
      <c r="J82" s="3"/>
      <c r="K82" s="13">
        <f t="shared" si="10"/>
        <v>2</v>
      </c>
    </row>
    <row r="83" spans="2:11" ht="50" x14ac:dyDescent="0.35">
      <c r="B83" s="1">
        <f t="shared" si="9"/>
        <v>70</v>
      </c>
      <c r="C83" s="2">
        <v>3</v>
      </c>
      <c r="D83" s="3" t="s">
        <v>247</v>
      </c>
      <c r="E83" s="2">
        <v>2</v>
      </c>
      <c r="F83" s="5" t="s">
        <v>283</v>
      </c>
      <c r="G83" s="10" t="s">
        <v>284</v>
      </c>
      <c r="H83" s="3"/>
      <c r="I83" s="3"/>
      <c r="J83" s="3"/>
      <c r="K83" s="13">
        <f t="shared" si="10"/>
        <v>2</v>
      </c>
    </row>
    <row r="84" spans="2:11" ht="50" x14ac:dyDescent="0.35">
      <c r="B84" s="1">
        <f t="shared" si="9"/>
        <v>71</v>
      </c>
      <c r="C84" s="2">
        <v>3</v>
      </c>
      <c r="D84" s="3" t="s">
        <v>247</v>
      </c>
      <c r="E84" s="2">
        <v>2</v>
      </c>
      <c r="F84" s="5" t="s">
        <v>285</v>
      </c>
      <c r="G84" s="10" t="s">
        <v>286</v>
      </c>
      <c r="H84" s="3" t="s">
        <v>287</v>
      </c>
      <c r="I84" s="3" t="s">
        <v>288</v>
      </c>
      <c r="J84" s="3" t="s">
        <v>289</v>
      </c>
      <c r="K84" s="13">
        <f t="shared" si="10"/>
        <v>2</v>
      </c>
    </row>
    <row r="85" spans="2:11" ht="50" x14ac:dyDescent="0.35">
      <c r="B85" s="1">
        <f t="shared" si="9"/>
        <v>72</v>
      </c>
      <c r="C85" s="2">
        <v>3</v>
      </c>
      <c r="D85" s="3" t="s">
        <v>247</v>
      </c>
      <c r="E85" s="2">
        <v>2</v>
      </c>
      <c r="F85" s="5" t="s">
        <v>290</v>
      </c>
      <c r="G85" s="11" t="s">
        <v>291</v>
      </c>
      <c r="H85" s="8" t="s">
        <v>292</v>
      </c>
      <c r="I85" s="8" t="s">
        <v>293</v>
      </c>
      <c r="J85" s="8" t="s">
        <v>294</v>
      </c>
      <c r="K85" s="13">
        <f t="shared" si="10"/>
        <v>2</v>
      </c>
    </row>
    <row r="86" spans="2:11" ht="62.5" x14ac:dyDescent="0.35">
      <c r="B86" s="1">
        <f t="shared" si="9"/>
        <v>73</v>
      </c>
      <c r="C86" s="2">
        <v>3</v>
      </c>
      <c r="D86" s="3" t="s">
        <v>247</v>
      </c>
      <c r="E86" s="2">
        <v>2</v>
      </c>
      <c r="F86" s="5" t="s">
        <v>295</v>
      </c>
      <c r="G86" s="11" t="s">
        <v>296</v>
      </c>
      <c r="H86" s="8" t="s">
        <v>297</v>
      </c>
      <c r="I86" s="8" t="s">
        <v>298</v>
      </c>
      <c r="J86" s="8" t="s">
        <v>299</v>
      </c>
      <c r="K86" s="13">
        <f t="shared" si="10"/>
        <v>2</v>
      </c>
    </row>
    <row r="87" spans="2:11" ht="50" x14ac:dyDescent="0.35">
      <c r="B87" s="1">
        <f t="shared" si="9"/>
        <v>74</v>
      </c>
      <c r="C87" s="2">
        <v>3</v>
      </c>
      <c r="D87" s="3" t="s">
        <v>247</v>
      </c>
      <c r="E87" s="2">
        <v>2</v>
      </c>
      <c r="F87" s="5" t="s">
        <v>300</v>
      </c>
      <c r="G87" s="11" t="s">
        <v>301</v>
      </c>
      <c r="H87" s="8" t="s">
        <v>302</v>
      </c>
      <c r="I87" s="8" t="s">
        <v>303</v>
      </c>
      <c r="J87" s="8" t="s">
        <v>304</v>
      </c>
      <c r="K87" s="13">
        <f t="shared" si="10"/>
        <v>2</v>
      </c>
    </row>
    <row r="88" spans="2:11" ht="62.5" x14ac:dyDescent="0.35">
      <c r="B88" s="1">
        <f t="shared" si="9"/>
        <v>75</v>
      </c>
      <c r="C88" s="2">
        <v>3</v>
      </c>
      <c r="D88" s="3" t="s">
        <v>247</v>
      </c>
      <c r="E88" s="2">
        <v>3</v>
      </c>
      <c r="F88" s="5" t="s">
        <v>305</v>
      </c>
      <c r="G88" s="11" t="s">
        <v>306</v>
      </c>
      <c r="H88" s="8"/>
      <c r="I88" s="8"/>
      <c r="J88" s="8"/>
      <c r="K88" s="13">
        <f t="shared" si="10"/>
        <v>3</v>
      </c>
    </row>
    <row r="89" spans="2:11" ht="50" x14ac:dyDescent="0.35">
      <c r="B89" s="1">
        <f t="shared" si="9"/>
        <v>76</v>
      </c>
      <c r="C89" s="2">
        <v>3</v>
      </c>
      <c r="D89" s="3" t="s">
        <v>247</v>
      </c>
      <c r="E89" s="2">
        <v>3</v>
      </c>
      <c r="F89" s="5" t="s">
        <v>307</v>
      </c>
      <c r="G89" s="10" t="s">
        <v>308</v>
      </c>
      <c r="H89" s="3"/>
      <c r="I89" s="3"/>
      <c r="J89" s="3"/>
      <c r="K89" s="13">
        <f t="shared" si="10"/>
        <v>3</v>
      </c>
    </row>
    <row r="90" spans="2:11" ht="50" x14ac:dyDescent="0.35">
      <c r="B90" s="1">
        <f t="shared" si="9"/>
        <v>77</v>
      </c>
      <c r="C90" s="2">
        <v>3</v>
      </c>
      <c r="D90" s="3" t="s">
        <v>247</v>
      </c>
      <c r="E90" s="2">
        <v>3</v>
      </c>
      <c r="F90" s="5" t="s">
        <v>309</v>
      </c>
      <c r="G90" s="10" t="s">
        <v>310</v>
      </c>
      <c r="H90" s="3" t="s">
        <v>311</v>
      </c>
      <c r="I90" s="3" t="s">
        <v>312</v>
      </c>
      <c r="J90" s="3" t="s">
        <v>313</v>
      </c>
      <c r="K90" s="13">
        <f t="shared" si="10"/>
        <v>3</v>
      </c>
    </row>
    <row r="91" spans="2:11" ht="75" x14ac:dyDescent="0.35">
      <c r="B91" s="1">
        <f t="shared" si="9"/>
        <v>78</v>
      </c>
      <c r="C91" s="2">
        <v>3</v>
      </c>
      <c r="D91" s="3" t="s">
        <v>247</v>
      </c>
      <c r="E91" s="2">
        <v>3</v>
      </c>
      <c r="F91" s="5" t="s">
        <v>314</v>
      </c>
      <c r="G91" s="10" t="s">
        <v>315</v>
      </c>
      <c r="H91" s="3" t="s">
        <v>316</v>
      </c>
      <c r="I91" s="3" t="s">
        <v>317</v>
      </c>
      <c r="J91" s="3" t="s">
        <v>318</v>
      </c>
      <c r="K91" s="13">
        <f t="shared" si="10"/>
        <v>3</v>
      </c>
    </row>
    <row r="92" spans="2:11" ht="50" x14ac:dyDescent="0.35">
      <c r="B92" s="1">
        <f t="shared" si="9"/>
        <v>79</v>
      </c>
      <c r="C92" s="2">
        <v>3</v>
      </c>
      <c r="D92" s="3" t="s">
        <v>247</v>
      </c>
      <c r="E92" s="2">
        <v>3</v>
      </c>
      <c r="F92" s="5" t="s">
        <v>319</v>
      </c>
      <c r="G92" s="10" t="s">
        <v>320</v>
      </c>
      <c r="H92" s="3"/>
      <c r="I92" s="3"/>
      <c r="J92" s="3"/>
      <c r="K92" s="13">
        <f t="shared" si="10"/>
        <v>3</v>
      </c>
    </row>
    <row r="93" spans="2:11" ht="125" x14ac:dyDescent="0.35">
      <c r="B93" s="1">
        <f t="shared" si="9"/>
        <v>80</v>
      </c>
      <c r="C93" s="2">
        <v>3</v>
      </c>
      <c r="D93" s="3" t="s">
        <v>247</v>
      </c>
      <c r="E93" s="2">
        <v>3</v>
      </c>
      <c r="F93" s="5" t="s">
        <v>321</v>
      </c>
      <c r="G93" s="10" t="s">
        <v>322</v>
      </c>
      <c r="H93" s="3" t="s">
        <v>323</v>
      </c>
      <c r="I93" s="3" t="s">
        <v>324</v>
      </c>
      <c r="J93" s="3" t="s">
        <v>325</v>
      </c>
      <c r="K93" s="13">
        <f t="shared" si="10"/>
        <v>3</v>
      </c>
    </row>
    <row r="94" spans="2:11" ht="62.5" x14ac:dyDescent="0.35">
      <c r="B94" s="1">
        <f t="shared" si="9"/>
        <v>81</v>
      </c>
      <c r="C94" s="2">
        <v>3</v>
      </c>
      <c r="D94" s="3" t="s">
        <v>247</v>
      </c>
      <c r="E94" s="2">
        <v>3</v>
      </c>
      <c r="F94" s="5" t="s">
        <v>326</v>
      </c>
      <c r="G94" s="10" t="s">
        <v>327</v>
      </c>
      <c r="H94" s="3" t="s">
        <v>328</v>
      </c>
      <c r="I94" s="3" t="s">
        <v>329</v>
      </c>
      <c r="J94" s="3" t="s">
        <v>330</v>
      </c>
      <c r="K94" s="13">
        <f t="shared" si="10"/>
        <v>3</v>
      </c>
    </row>
    <row r="95" spans="2:11" ht="50" x14ac:dyDescent="0.35">
      <c r="B95" s="1">
        <f t="shared" si="9"/>
        <v>82</v>
      </c>
      <c r="C95" s="2">
        <v>3</v>
      </c>
      <c r="D95" s="3" t="s">
        <v>247</v>
      </c>
      <c r="E95" s="2">
        <v>3</v>
      </c>
      <c r="F95" s="5" t="s">
        <v>331</v>
      </c>
      <c r="G95" s="9" t="s">
        <v>332</v>
      </c>
      <c r="H95" s="7" t="s">
        <v>333</v>
      </c>
      <c r="I95" s="7" t="s">
        <v>334</v>
      </c>
      <c r="J95" s="7" t="s">
        <v>335</v>
      </c>
      <c r="K95" s="13">
        <f t="shared" si="10"/>
        <v>3</v>
      </c>
    </row>
    <row r="96" spans="2:11" ht="100" x14ac:dyDescent="0.35">
      <c r="B96" s="1">
        <f t="shared" si="9"/>
        <v>83</v>
      </c>
      <c r="C96" s="2">
        <v>3</v>
      </c>
      <c r="D96" s="3" t="s">
        <v>247</v>
      </c>
      <c r="E96" s="2">
        <v>4</v>
      </c>
      <c r="F96" s="5" t="s">
        <v>336</v>
      </c>
      <c r="G96" s="10" t="s">
        <v>337</v>
      </c>
      <c r="H96" s="3" t="s">
        <v>338</v>
      </c>
      <c r="I96" s="3" t="s">
        <v>339</v>
      </c>
      <c r="J96" s="3" t="s">
        <v>340</v>
      </c>
      <c r="K96" s="13">
        <f t="shared" si="10"/>
        <v>4</v>
      </c>
    </row>
    <row r="97" spans="2:11" ht="50" x14ac:dyDescent="0.35">
      <c r="B97" s="1">
        <f t="shared" si="9"/>
        <v>84</v>
      </c>
      <c r="C97" s="2">
        <v>3</v>
      </c>
      <c r="D97" s="3" t="s">
        <v>247</v>
      </c>
      <c r="E97" s="2">
        <v>4</v>
      </c>
      <c r="F97" s="5" t="s">
        <v>341</v>
      </c>
      <c r="G97" s="10" t="s">
        <v>342</v>
      </c>
      <c r="H97" s="3"/>
      <c r="I97" s="3"/>
      <c r="J97" s="3"/>
      <c r="K97" s="13">
        <f t="shared" si="10"/>
        <v>4</v>
      </c>
    </row>
    <row r="98" spans="2:11" ht="100" x14ac:dyDescent="0.35">
      <c r="B98" s="1">
        <f t="shared" si="9"/>
        <v>85</v>
      </c>
      <c r="C98" s="2">
        <v>3</v>
      </c>
      <c r="D98" s="3" t="s">
        <v>247</v>
      </c>
      <c r="E98" s="2">
        <v>4</v>
      </c>
      <c r="F98" s="5" t="s">
        <v>343</v>
      </c>
      <c r="G98" s="11" t="s">
        <v>344</v>
      </c>
      <c r="H98" s="8" t="s">
        <v>345</v>
      </c>
      <c r="I98" s="8" t="s">
        <v>346</v>
      </c>
      <c r="J98" s="8" t="s">
        <v>347</v>
      </c>
      <c r="K98" s="13">
        <f t="shared" si="10"/>
        <v>4</v>
      </c>
    </row>
    <row r="99" spans="2:11" ht="87.5" x14ac:dyDescent="0.35">
      <c r="B99" s="1">
        <f t="shared" si="9"/>
        <v>86</v>
      </c>
      <c r="C99" s="2">
        <v>3</v>
      </c>
      <c r="D99" s="3" t="s">
        <v>247</v>
      </c>
      <c r="E99" s="2">
        <v>4</v>
      </c>
      <c r="F99" s="5" t="s">
        <v>348</v>
      </c>
      <c r="G99" s="11" t="s">
        <v>349</v>
      </c>
      <c r="H99" s="8" t="s">
        <v>350</v>
      </c>
      <c r="I99" s="8" t="s">
        <v>351</v>
      </c>
      <c r="J99" s="8" t="s">
        <v>352</v>
      </c>
      <c r="K99" s="13">
        <f t="shared" si="10"/>
        <v>4</v>
      </c>
    </row>
    <row r="100" spans="2:11" ht="100" x14ac:dyDescent="0.35">
      <c r="B100" s="1">
        <f t="shared" si="9"/>
        <v>87</v>
      </c>
      <c r="C100" s="2">
        <v>3</v>
      </c>
      <c r="D100" s="3" t="s">
        <v>247</v>
      </c>
      <c r="E100" s="2">
        <v>4</v>
      </c>
      <c r="F100" s="5" t="s">
        <v>353</v>
      </c>
      <c r="G100" s="11" t="s">
        <v>354</v>
      </c>
      <c r="H100" s="8" t="s">
        <v>355</v>
      </c>
      <c r="I100" s="8" t="s">
        <v>356</v>
      </c>
      <c r="J100" s="8" t="s">
        <v>357</v>
      </c>
      <c r="K100" s="13">
        <f t="shared" si="10"/>
        <v>4</v>
      </c>
    </row>
    <row r="101" spans="2:11" ht="50" x14ac:dyDescent="0.35">
      <c r="B101" s="1">
        <f t="shared" si="9"/>
        <v>88</v>
      </c>
      <c r="C101" s="2">
        <v>3</v>
      </c>
      <c r="D101" s="3" t="s">
        <v>247</v>
      </c>
      <c r="E101" s="2">
        <v>4</v>
      </c>
      <c r="F101" s="5" t="s">
        <v>358</v>
      </c>
      <c r="G101" s="10" t="s">
        <v>359</v>
      </c>
      <c r="H101" s="3"/>
      <c r="I101" s="3"/>
      <c r="J101" s="3"/>
    </row>
    <row r="102" spans="2:11" x14ac:dyDescent="0.35">
      <c r="B102" s="1">
        <f t="shared" si="9"/>
        <v>89</v>
      </c>
      <c r="C102" s="2"/>
      <c r="D102" s="3"/>
      <c r="E102" s="2"/>
      <c r="F102" s="5"/>
      <c r="G102" s="10"/>
      <c r="H102" s="3"/>
      <c r="I102" s="3"/>
      <c r="J102" s="3"/>
    </row>
    <row r="103" spans="2:11" x14ac:dyDescent="0.35">
      <c r="B103" s="1">
        <f t="shared" si="9"/>
        <v>90</v>
      </c>
      <c r="C103" s="2"/>
      <c r="D103" s="3"/>
      <c r="E103" s="2"/>
      <c r="F103" s="5"/>
      <c r="G103" s="10"/>
      <c r="H103" s="3"/>
      <c r="I103" s="3"/>
      <c r="J103" s="3"/>
    </row>
    <row r="104" spans="2:11" x14ac:dyDescent="0.35">
      <c r="B104" s="1">
        <f t="shared" si="9"/>
        <v>91</v>
      </c>
      <c r="C104" s="2"/>
      <c r="D104" s="3"/>
      <c r="E104" s="2"/>
      <c r="F104" s="5"/>
      <c r="G104" s="10"/>
      <c r="H104" s="3"/>
      <c r="I104" s="3"/>
      <c r="J104" s="3"/>
    </row>
    <row r="105" spans="2:11" x14ac:dyDescent="0.35">
      <c r="B105" s="1">
        <f t="shared" si="9"/>
        <v>92</v>
      </c>
      <c r="C105" s="2"/>
      <c r="D105" s="3"/>
      <c r="E105" s="2"/>
      <c r="F105" s="5"/>
      <c r="G105" s="10"/>
      <c r="H105" s="3"/>
      <c r="I105" s="3"/>
      <c r="J105" s="3"/>
    </row>
    <row r="106" spans="2:11" x14ac:dyDescent="0.35">
      <c r="B106" s="1">
        <f t="shared" si="9"/>
        <v>93</v>
      </c>
      <c r="C106" s="2"/>
      <c r="D106" s="3"/>
      <c r="E106" s="2"/>
      <c r="F106" s="5"/>
      <c r="G106" s="10"/>
      <c r="H106" s="3"/>
      <c r="I106" s="3"/>
      <c r="J106" s="3"/>
    </row>
    <row r="107" spans="2:11" x14ac:dyDescent="0.35">
      <c r="B107" s="1">
        <f t="shared" si="9"/>
        <v>94</v>
      </c>
      <c r="C107" s="2"/>
      <c r="D107" s="3"/>
      <c r="E107" s="2"/>
      <c r="F107" s="5"/>
      <c r="G107" s="9"/>
      <c r="H107" s="7"/>
      <c r="I107" s="7"/>
      <c r="J107" s="7"/>
    </row>
    <row r="108" spans="2:11" x14ac:dyDescent="0.35">
      <c r="B108" s="1">
        <f t="shared" si="9"/>
        <v>95</v>
      </c>
      <c r="C108" s="2"/>
      <c r="D108" s="3"/>
      <c r="E108" s="2"/>
      <c r="F108" s="5"/>
      <c r="G108" s="10"/>
      <c r="H108" s="3"/>
      <c r="I108" s="3"/>
      <c r="J108" s="3"/>
    </row>
    <row r="109" spans="2:11" x14ac:dyDescent="0.35">
      <c r="B109" s="1">
        <f t="shared" si="9"/>
        <v>96</v>
      </c>
      <c r="C109" s="2"/>
      <c r="D109" s="3"/>
      <c r="E109" s="2"/>
      <c r="F109" s="5"/>
      <c r="G109" s="10"/>
      <c r="H109" s="3"/>
      <c r="I109" s="3"/>
      <c r="J109" s="3"/>
    </row>
    <row r="110" spans="2:11" x14ac:dyDescent="0.35">
      <c r="B110" s="1">
        <f t="shared" si="9"/>
        <v>97</v>
      </c>
      <c r="C110" s="2"/>
      <c r="D110" s="3"/>
      <c r="E110" s="2"/>
      <c r="F110" s="5"/>
      <c r="G110" s="10"/>
      <c r="H110" s="3"/>
      <c r="I110" s="3"/>
      <c r="J110" s="3"/>
    </row>
    <row r="111" spans="2:11" x14ac:dyDescent="0.35">
      <c r="B111" s="1">
        <f t="shared" si="9"/>
        <v>98</v>
      </c>
      <c r="C111" s="2"/>
      <c r="D111" s="3"/>
      <c r="E111" s="2"/>
      <c r="F111" s="5"/>
      <c r="G111" s="9"/>
      <c r="H111" s="7"/>
      <c r="I111" s="7"/>
      <c r="J111" s="7"/>
    </row>
    <row r="112" spans="2:11" x14ac:dyDescent="0.35">
      <c r="B112" s="1">
        <f t="shared" si="9"/>
        <v>99</v>
      </c>
      <c r="C112" s="2"/>
      <c r="D112" s="3"/>
      <c r="E112" s="2"/>
      <c r="F112" s="5"/>
      <c r="G112" s="10"/>
      <c r="H112" s="3"/>
      <c r="I112" s="3"/>
      <c r="J112" s="3"/>
    </row>
    <row r="113" spans="2:10" x14ac:dyDescent="0.35">
      <c r="B113" s="1">
        <f t="shared" si="9"/>
        <v>100</v>
      </c>
      <c r="C113" s="2"/>
      <c r="D113" s="3"/>
      <c r="E113" s="2"/>
      <c r="F113" s="5"/>
      <c r="G113" s="10"/>
      <c r="H113" s="3"/>
      <c r="I113" s="3"/>
      <c r="J113" s="3"/>
    </row>
  </sheetData>
  <autoFilter ref="B13:M137" xr:uid="{B005C0B0-9D89-4729-AC6E-7F1010ED0730}"/>
  <mergeCells count="6">
    <mergeCell ref="G11:J11"/>
    <mergeCell ref="B11:B12"/>
    <mergeCell ref="C11:C12"/>
    <mergeCell ref="D11:D12"/>
    <mergeCell ref="E11:E12"/>
    <mergeCell ref="F11:F12"/>
  </mergeCells>
  <conditionalFormatting sqref="F6:H9">
    <cfRule type="expression" dxfId="1" priority="1">
      <formula>F6&lt;2</formula>
    </cfRule>
  </conditionalFormatting>
  <pageMargins left="0.7" right="0.7" top="0.75" bottom="0.75" header="0.3" footer="0.3"/>
  <pageSetup scale="32" orientation="portrait" horizontalDpi="1200" verticalDpi="1200" r:id="rId1"/>
  <colBreaks count="1" manualBreakCount="1">
    <brk id="10"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C0B0-9D89-4729-AC6E-7F1010ED0730}">
  <sheetPr>
    <tabColor theme="9" tint="0.59999389629810485"/>
  </sheetPr>
  <dimension ref="B2:K47"/>
  <sheetViews>
    <sheetView showGridLines="0" tabSelected="1" zoomScale="90" zoomScaleNormal="90" workbookViewId="0">
      <selection activeCell="A46" sqref="A46:XFD46"/>
    </sheetView>
  </sheetViews>
  <sheetFormatPr defaultColWidth="9" defaultRowHeight="14" outlineLevelRow="1" x14ac:dyDescent="0.35"/>
  <cols>
    <col min="1" max="1" width="2.81640625" style="13" customWidth="1"/>
    <col min="2" max="2" width="7.81640625" style="12" customWidth="1"/>
    <col min="3" max="3" width="9" style="12"/>
    <col min="4" max="4" width="23.453125" style="13" customWidth="1"/>
    <col min="5" max="5" width="9" style="12"/>
    <col min="6" max="10" width="45.453125" style="13" customWidth="1"/>
    <col min="11" max="11" width="9" style="13"/>
    <col min="12" max="12" width="12.81640625" style="13" customWidth="1"/>
    <col min="13" max="16384" width="9" style="13"/>
  </cols>
  <sheetData>
    <row r="2" spans="2:11" ht="26.5" customHeight="1" x14ac:dyDescent="0.35">
      <c r="B2" s="14" t="s">
        <v>360</v>
      </c>
    </row>
    <row r="3" spans="2:11" ht="10.25" customHeight="1" x14ac:dyDescent="0.35">
      <c r="B3" s="14"/>
    </row>
    <row r="4" spans="2:11" ht="31.75" customHeight="1" outlineLevel="1" x14ac:dyDescent="0.35">
      <c r="B4" s="14"/>
      <c r="D4" s="18" t="s">
        <v>10</v>
      </c>
      <c r="E4" s="19" t="s">
        <v>11</v>
      </c>
      <c r="F4" s="20">
        <v>1</v>
      </c>
      <c r="G4" s="20">
        <v>2</v>
      </c>
      <c r="H4" s="20">
        <v>3</v>
      </c>
    </row>
    <row r="5" spans="2:11" ht="20" customHeight="1" outlineLevel="1" x14ac:dyDescent="0.35">
      <c r="B5" s="14"/>
      <c r="D5" s="19" t="s">
        <v>11</v>
      </c>
      <c r="E5" s="16">
        <f>SUM(E6:E9)</f>
        <v>34</v>
      </c>
      <c r="F5" s="17">
        <f>SUM(F6:F9)</f>
        <v>11</v>
      </c>
      <c r="G5" s="17">
        <f t="shared" ref="G5:H5" si="0">SUM(G6:G9)</f>
        <v>9</v>
      </c>
      <c r="H5" s="17">
        <f t="shared" si="0"/>
        <v>14</v>
      </c>
    </row>
    <row r="6" spans="2:11" ht="20" customHeight="1" outlineLevel="1" x14ac:dyDescent="0.35">
      <c r="B6" s="14"/>
      <c r="D6" s="20">
        <v>1</v>
      </c>
      <c r="E6" s="17">
        <f>SUM(F6:H6)</f>
        <v>10</v>
      </c>
      <c r="F6" s="21">
        <f>COUNTIFS($E$13:$E$134,$D6,$C$13:$C$134,F$4)</f>
        <v>4</v>
      </c>
      <c r="G6" s="21">
        <f>COUNTIFS($E$13:$E$134,$D6,$C$13:$C$134,G$4)</f>
        <v>2</v>
      </c>
      <c r="H6" s="21">
        <f>COUNTIFS($E$13:$E$134,$D6,$C$13:$C$134,H$4)</f>
        <v>4</v>
      </c>
    </row>
    <row r="7" spans="2:11" ht="20" customHeight="1" outlineLevel="1" x14ac:dyDescent="0.35">
      <c r="B7" s="14"/>
      <c r="D7" s="20">
        <v>2</v>
      </c>
      <c r="E7" s="17">
        <f t="shared" ref="E7:E9" si="1">SUM(F7:H7)</f>
        <v>11</v>
      </c>
      <c r="F7" s="21">
        <f>COUNTIFS($E$13:$E$134,$D7,$C$13:$C$134,F$4)</f>
        <v>2</v>
      </c>
      <c r="G7" s="21">
        <f>COUNTIFS($E$13:$E$134,$D7,$C$13:$C$134,G$4)</f>
        <v>4</v>
      </c>
      <c r="H7" s="21">
        <f>COUNTIFS($E$13:$E$134,$D7,$C$13:$C$134,H$4)</f>
        <v>5</v>
      </c>
    </row>
    <row r="8" spans="2:11" ht="20" customHeight="1" outlineLevel="1" x14ac:dyDescent="0.35">
      <c r="B8" s="14"/>
      <c r="D8" s="20">
        <v>3</v>
      </c>
      <c r="E8" s="17">
        <f t="shared" si="1"/>
        <v>6</v>
      </c>
      <c r="F8" s="21">
        <f>COUNTIFS($E$13:$E$134,$D8,$C$13:$C$134,F$4)</f>
        <v>3</v>
      </c>
      <c r="G8" s="21">
        <f>COUNTIFS($E$13:$E$134,$D8,$C$13:$C$134,G$4)</f>
        <v>1</v>
      </c>
      <c r="H8" s="21">
        <f>COUNTIFS($E$13:$E$134,$D8,$C$13:$C$134,H$4)</f>
        <v>2</v>
      </c>
    </row>
    <row r="9" spans="2:11" ht="20" customHeight="1" outlineLevel="1" x14ac:dyDescent="0.35">
      <c r="B9" s="14"/>
      <c r="D9" s="20">
        <v>4</v>
      </c>
      <c r="E9" s="17">
        <f t="shared" si="1"/>
        <v>7</v>
      </c>
      <c r="F9" s="21">
        <f>COUNTIFS($E$13:$E$134,$D9,$C$13:$C$134,F$4)</f>
        <v>2</v>
      </c>
      <c r="G9" s="21">
        <f>COUNTIFS($E$13:$E$134,$D9,$C$13:$C$134,G$4)</f>
        <v>2</v>
      </c>
      <c r="H9" s="21">
        <f>COUNTIFS($E$13:$E$134,$D9,$C$13:$C$134,H$4)</f>
        <v>3</v>
      </c>
    </row>
    <row r="10" spans="2:11" ht="6.75" customHeight="1" x14ac:dyDescent="0.35"/>
    <row r="11" spans="2:11" ht="19.25" customHeight="1" x14ac:dyDescent="0.35">
      <c r="B11" s="23" t="s">
        <v>0</v>
      </c>
      <c r="C11" s="23" t="s">
        <v>1</v>
      </c>
      <c r="D11" s="23" t="s">
        <v>2</v>
      </c>
      <c r="E11" s="23" t="s">
        <v>3</v>
      </c>
      <c r="F11" s="24" t="s">
        <v>8</v>
      </c>
      <c r="G11" s="22" t="s">
        <v>9</v>
      </c>
      <c r="H11" s="22"/>
      <c r="I11" s="22"/>
      <c r="J11" s="22"/>
    </row>
    <row r="12" spans="2:11" ht="19.25" customHeight="1" x14ac:dyDescent="0.35">
      <c r="B12" s="23"/>
      <c r="C12" s="23"/>
      <c r="D12" s="23"/>
      <c r="E12" s="23"/>
      <c r="F12" s="24"/>
      <c r="G12" s="6" t="s">
        <v>4</v>
      </c>
      <c r="H12" s="6" t="s">
        <v>5</v>
      </c>
      <c r="I12" s="6" t="s">
        <v>6</v>
      </c>
      <c r="J12" s="6" t="s">
        <v>7</v>
      </c>
    </row>
    <row r="13" spans="2:11" s="15" customFormat="1" ht="12" x14ac:dyDescent="0.35">
      <c r="B13" s="4" t="str">
        <f t="shared" ref="B13:J13" si="2">"("&amp;COLUMN()-COLUMN($A$13)&amp;")"</f>
        <v>(1)</v>
      </c>
      <c r="C13" s="4" t="str">
        <f t="shared" si="2"/>
        <v>(2)</v>
      </c>
      <c r="D13" s="4" t="str">
        <f t="shared" si="2"/>
        <v>(3)</v>
      </c>
      <c r="E13" s="4" t="str">
        <f t="shared" si="2"/>
        <v>(4)</v>
      </c>
      <c r="F13" s="4" t="str">
        <f t="shared" si="2"/>
        <v>(5)</v>
      </c>
      <c r="G13" s="4" t="str">
        <f t="shared" si="2"/>
        <v>(6)</v>
      </c>
      <c r="H13" s="4" t="str">
        <f t="shared" si="2"/>
        <v>(7)</v>
      </c>
      <c r="I13" s="4" t="str">
        <f t="shared" si="2"/>
        <v>(8)</v>
      </c>
      <c r="J13" s="4" t="str">
        <f t="shared" si="2"/>
        <v>(9)</v>
      </c>
    </row>
    <row r="14" spans="2:11" ht="87.5" x14ac:dyDescent="0.35">
      <c r="B14" s="1">
        <f>ROW()-ROW($B$13)</f>
        <v>1</v>
      </c>
      <c r="C14" s="2">
        <v>1</v>
      </c>
      <c r="D14" s="3" t="s">
        <v>12</v>
      </c>
      <c r="E14" s="2">
        <v>1</v>
      </c>
      <c r="F14" s="5" t="s">
        <v>13</v>
      </c>
      <c r="G14" s="9" t="s">
        <v>14</v>
      </c>
      <c r="H14" s="7" t="s">
        <v>15</v>
      </c>
      <c r="I14" s="7" t="s">
        <v>16</v>
      </c>
      <c r="J14" s="7" t="s">
        <v>17</v>
      </c>
      <c r="K14" s="13">
        <f>E14</f>
        <v>1</v>
      </c>
    </row>
    <row r="15" spans="2:11" ht="87.5" x14ac:dyDescent="0.35">
      <c r="B15" s="1">
        <f t="shared" ref="B15:B20" si="3">ROW()-ROW($B$13)</f>
        <v>2</v>
      </c>
      <c r="C15" s="2">
        <v>1</v>
      </c>
      <c r="D15" s="3" t="s">
        <v>12</v>
      </c>
      <c r="E15" s="2">
        <v>1</v>
      </c>
      <c r="F15" s="5" t="s">
        <v>18</v>
      </c>
      <c r="G15" s="10" t="s">
        <v>19</v>
      </c>
      <c r="H15" s="3" t="s">
        <v>20</v>
      </c>
      <c r="I15" s="3" t="s">
        <v>21</v>
      </c>
      <c r="J15" s="3" t="s">
        <v>22</v>
      </c>
      <c r="K15" s="13">
        <f t="shared" ref="K15:K47" si="4">E15</f>
        <v>1</v>
      </c>
    </row>
    <row r="16" spans="2:11" ht="87.5" x14ac:dyDescent="0.35">
      <c r="B16" s="1">
        <f t="shared" si="3"/>
        <v>3</v>
      </c>
      <c r="C16" s="2">
        <v>1</v>
      </c>
      <c r="D16" s="3" t="s">
        <v>12</v>
      </c>
      <c r="E16" s="2">
        <v>1</v>
      </c>
      <c r="F16" s="5" t="s">
        <v>361</v>
      </c>
      <c r="G16" s="10" t="s">
        <v>28</v>
      </c>
      <c r="H16" s="3" t="s">
        <v>29</v>
      </c>
      <c r="I16" s="3" t="s">
        <v>30</v>
      </c>
      <c r="J16" s="3" t="s">
        <v>31</v>
      </c>
      <c r="K16" s="13">
        <f t="shared" si="4"/>
        <v>1</v>
      </c>
    </row>
    <row r="17" spans="2:11" ht="87.5" x14ac:dyDescent="0.35">
      <c r="B17" s="1">
        <f t="shared" si="3"/>
        <v>4</v>
      </c>
      <c r="C17" s="2">
        <v>1</v>
      </c>
      <c r="D17" s="3" t="s">
        <v>12</v>
      </c>
      <c r="E17" s="2">
        <v>1</v>
      </c>
      <c r="F17" s="5" t="s">
        <v>362</v>
      </c>
      <c r="G17" s="10" t="s">
        <v>33</v>
      </c>
      <c r="H17" s="3" t="s">
        <v>34</v>
      </c>
      <c r="I17" s="3" t="s">
        <v>35</v>
      </c>
      <c r="J17" s="3" t="s">
        <v>36</v>
      </c>
      <c r="K17" s="13">
        <f t="shared" si="4"/>
        <v>1</v>
      </c>
    </row>
    <row r="18" spans="2:11" ht="87.5" x14ac:dyDescent="0.35">
      <c r="B18" s="1">
        <f t="shared" si="3"/>
        <v>5</v>
      </c>
      <c r="C18" s="2">
        <v>1</v>
      </c>
      <c r="D18" s="3" t="s">
        <v>12</v>
      </c>
      <c r="E18" s="2">
        <v>2</v>
      </c>
      <c r="F18" s="5" t="s">
        <v>363</v>
      </c>
      <c r="G18" s="11" t="s">
        <v>48</v>
      </c>
      <c r="H18" s="8" t="s">
        <v>49</v>
      </c>
      <c r="I18" s="8" t="s">
        <v>50</v>
      </c>
      <c r="J18" s="8" t="s">
        <v>51</v>
      </c>
      <c r="K18" s="13">
        <f t="shared" si="4"/>
        <v>2</v>
      </c>
    </row>
    <row r="19" spans="2:11" ht="87.5" x14ac:dyDescent="0.35">
      <c r="B19" s="1">
        <f t="shared" si="3"/>
        <v>6</v>
      </c>
      <c r="C19" s="2">
        <v>1</v>
      </c>
      <c r="D19" s="3" t="s">
        <v>12</v>
      </c>
      <c r="E19" s="2">
        <v>2</v>
      </c>
      <c r="F19" s="5" t="s">
        <v>65</v>
      </c>
      <c r="G19" s="10" t="s">
        <v>66</v>
      </c>
      <c r="H19" s="3" t="s">
        <v>67</v>
      </c>
      <c r="I19" s="3" t="s">
        <v>68</v>
      </c>
      <c r="J19" s="3" t="s">
        <v>69</v>
      </c>
      <c r="K19" s="13">
        <f t="shared" si="4"/>
        <v>2</v>
      </c>
    </row>
    <row r="20" spans="2:11" ht="87.5" x14ac:dyDescent="0.35">
      <c r="B20" s="1">
        <f t="shared" si="3"/>
        <v>7</v>
      </c>
      <c r="C20" s="2">
        <v>1</v>
      </c>
      <c r="D20" s="3" t="s">
        <v>12</v>
      </c>
      <c r="E20" s="2">
        <v>3</v>
      </c>
      <c r="F20" s="5" t="s">
        <v>94</v>
      </c>
      <c r="G20" s="10" t="s">
        <v>95</v>
      </c>
      <c r="H20" s="3" t="s">
        <v>96</v>
      </c>
      <c r="I20" s="3" t="s">
        <v>97</v>
      </c>
      <c r="J20" s="3" t="s">
        <v>98</v>
      </c>
      <c r="K20" s="13">
        <f t="shared" si="4"/>
        <v>3</v>
      </c>
    </row>
    <row r="21" spans="2:11" ht="100" x14ac:dyDescent="0.35">
      <c r="B21" s="1">
        <f>ROW()-ROW($B$13)</f>
        <v>8</v>
      </c>
      <c r="C21" s="2">
        <v>1</v>
      </c>
      <c r="D21" s="3" t="s">
        <v>12</v>
      </c>
      <c r="E21" s="2">
        <v>3</v>
      </c>
      <c r="F21" s="5" t="s">
        <v>99</v>
      </c>
      <c r="G21" s="9" t="s">
        <v>100</v>
      </c>
      <c r="H21" s="7" t="s">
        <v>101</v>
      </c>
      <c r="I21" s="7" t="s">
        <v>102</v>
      </c>
      <c r="J21" s="7" t="s">
        <v>103</v>
      </c>
      <c r="K21" s="13">
        <f t="shared" si="4"/>
        <v>3</v>
      </c>
    </row>
    <row r="22" spans="2:11" ht="87.5" x14ac:dyDescent="0.35">
      <c r="B22" s="1">
        <f t="shared" ref="B22:B28" si="5">ROW()-ROW($B$13)</f>
        <v>9</v>
      </c>
      <c r="C22" s="2">
        <v>1</v>
      </c>
      <c r="D22" s="3" t="s">
        <v>12</v>
      </c>
      <c r="E22" s="2">
        <v>3</v>
      </c>
      <c r="F22" s="5" t="s">
        <v>104</v>
      </c>
      <c r="G22" s="10" t="s">
        <v>105</v>
      </c>
      <c r="H22" s="3" t="s">
        <v>106</v>
      </c>
      <c r="I22" s="3" t="s">
        <v>107</v>
      </c>
      <c r="J22" s="3" t="s">
        <v>108</v>
      </c>
      <c r="K22" s="13">
        <f t="shared" si="4"/>
        <v>3</v>
      </c>
    </row>
    <row r="23" spans="2:11" ht="87.5" x14ac:dyDescent="0.35">
      <c r="B23" s="1">
        <f t="shared" si="5"/>
        <v>10</v>
      </c>
      <c r="C23" s="2">
        <v>1</v>
      </c>
      <c r="D23" s="3" t="s">
        <v>12</v>
      </c>
      <c r="E23" s="2">
        <v>4</v>
      </c>
      <c r="F23" s="5" t="s">
        <v>113</v>
      </c>
      <c r="G23" s="10" t="s">
        <v>114</v>
      </c>
      <c r="H23" s="3" t="s">
        <v>115</v>
      </c>
      <c r="I23" s="3" t="s">
        <v>116</v>
      </c>
      <c r="J23" s="3" t="s">
        <v>117</v>
      </c>
      <c r="K23" s="13">
        <f t="shared" si="4"/>
        <v>4</v>
      </c>
    </row>
    <row r="24" spans="2:11" ht="87.5" x14ac:dyDescent="0.35">
      <c r="B24" s="1">
        <f t="shared" si="5"/>
        <v>11</v>
      </c>
      <c r="C24" s="2">
        <v>1</v>
      </c>
      <c r="D24" s="3" t="s">
        <v>12</v>
      </c>
      <c r="E24" s="2">
        <v>4</v>
      </c>
      <c r="F24" s="5" t="s">
        <v>128</v>
      </c>
      <c r="G24" s="11" t="s">
        <v>131</v>
      </c>
      <c r="H24" s="8" t="s">
        <v>132</v>
      </c>
      <c r="I24" s="8" t="s">
        <v>133</v>
      </c>
      <c r="J24" s="8" t="s">
        <v>134</v>
      </c>
      <c r="K24" s="13">
        <f t="shared" si="4"/>
        <v>4</v>
      </c>
    </row>
    <row r="25" spans="2:11" ht="75" x14ac:dyDescent="0.35">
      <c r="B25" s="1">
        <f t="shared" si="5"/>
        <v>12</v>
      </c>
      <c r="C25" s="2">
        <v>2</v>
      </c>
      <c r="D25" s="3" t="s">
        <v>137</v>
      </c>
      <c r="E25" s="2">
        <v>1</v>
      </c>
      <c r="F25" s="5" t="s">
        <v>138</v>
      </c>
      <c r="G25" s="11" t="s">
        <v>139</v>
      </c>
      <c r="H25" s="8" t="s">
        <v>140</v>
      </c>
      <c r="I25" s="8" t="s">
        <v>141</v>
      </c>
      <c r="J25" s="8" t="s">
        <v>142</v>
      </c>
      <c r="K25" s="13">
        <f t="shared" si="4"/>
        <v>1</v>
      </c>
    </row>
    <row r="26" spans="2:11" ht="75" x14ac:dyDescent="0.35">
      <c r="B26" s="1">
        <f t="shared" si="5"/>
        <v>13</v>
      </c>
      <c r="C26" s="2">
        <v>2</v>
      </c>
      <c r="D26" s="3" t="s">
        <v>137</v>
      </c>
      <c r="E26" s="2">
        <v>1</v>
      </c>
      <c r="F26" s="5" t="s">
        <v>151</v>
      </c>
      <c r="G26" s="10" t="s">
        <v>155</v>
      </c>
      <c r="H26" s="3" t="s">
        <v>156</v>
      </c>
      <c r="I26" s="3" t="s">
        <v>157</v>
      </c>
      <c r="J26" s="3" t="s">
        <v>158</v>
      </c>
      <c r="K26" s="13">
        <f t="shared" si="4"/>
        <v>1</v>
      </c>
    </row>
    <row r="27" spans="2:11" ht="75" x14ac:dyDescent="0.35">
      <c r="B27" s="1">
        <f t="shared" si="5"/>
        <v>14</v>
      </c>
      <c r="C27" s="2">
        <v>2</v>
      </c>
      <c r="D27" s="3" t="s">
        <v>137</v>
      </c>
      <c r="E27" s="2">
        <v>2</v>
      </c>
      <c r="F27" s="5" t="s">
        <v>166</v>
      </c>
      <c r="G27" s="9" t="s">
        <v>167</v>
      </c>
      <c r="H27" s="7" t="s">
        <v>168</v>
      </c>
      <c r="I27" s="7" t="s">
        <v>169</v>
      </c>
      <c r="J27" s="7" t="s">
        <v>170</v>
      </c>
      <c r="K27" s="13">
        <f t="shared" si="4"/>
        <v>2</v>
      </c>
    </row>
    <row r="28" spans="2:11" ht="75" x14ac:dyDescent="0.35">
      <c r="B28" s="1">
        <f t="shared" si="5"/>
        <v>15</v>
      </c>
      <c r="C28" s="2">
        <v>2</v>
      </c>
      <c r="D28" s="3" t="s">
        <v>137</v>
      </c>
      <c r="E28" s="2">
        <v>2</v>
      </c>
      <c r="F28" s="5" t="s">
        <v>173</v>
      </c>
      <c r="G28" s="10" t="s">
        <v>174</v>
      </c>
      <c r="H28" s="3" t="s">
        <v>175</v>
      </c>
      <c r="I28" s="3" t="s">
        <v>176</v>
      </c>
      <c r="J28" s="3" t="s">
        <v>177</v>
      </c>
      <c r="K28" s="13">
        <f t="shared" si="4"/>
        <v>2</v>
      </c>
    </row>
    <row r="29" spans="2:11" ht="75" x14ac:dyDescent="0.35">
      <c r="B29" s="1">
        <f t="shared" ref="B29:B36" si="6">ROW()-ROW($B$13)</f>
        <v>16</v>
      </c>
      <c r="C29" s="2">
        <v>2</v>
      </c>
      <c r="D29" s="3" t="s">
        <v>137</v>
      </c>
      <c r="E29" s="2">
        <v>2</v>
      </c>
      <c r="F29" s="5" t="s">
        <v>185</v>
      </c>
      <c r="G29" s="10" t="s">
        <v>186</v>
      </c>
      <c r="H29" s="3" t="s">
        <v>187</v>
      </c>
      <c r="I29" s="3" t="s">
        <v>188</v>
      </c>
      <c r="J29" s="3" t="s">
        <v>189</v>
      </c>
      <c r="K29" s="13">
        <f t="shared" si="4"/>
        <v>2</v>
      </c>
    </row>
    <row r="30" spans="2:11" ht="75" x14ac:dyDescent="0.35">
      <c r="B30" s="1">
        <f t="shared" si="6"/>
        <v>17</v>
      </c>
      <c r="C30" s="2">
        <v>2</v>
      </c>
      <c r="D30" s="3" t="s">
        <v>137</v>
      </c>
      <c r="E30" s="2">
        <v>2</v>
      </c>
      <c r="F30" s="5" t="s">
        <v>190</v>
      </c>
      <c r="G30" s="10" t="s">
        <v>194</v>
      </c>
      <c r="H30" s="3" t="s">
        <v>195</v>
      </c>
      <c r="I30" s="3" t="s">
        <v>196</v>
      </c>
      <c r="J30" s="3" t="s">
        <v>197</v>
      </c>
      <c r="K30" s="13">
        <f t="shared" si="4"/>
        <v>2</v>
      </c>
    </row>
    <row r="31" spans="2:11" ht="75" x14ac:dyDescent="0.35">
      <c r="B31" s="1">
        <f t="shared" si="6"/>
        <v>18</v>
      </c>
      <c r="C31" s="2">
        <v>2</v>
      </c>
      <c r="D31" s="3" t="s">
        <v>137</v>
      </c>
      <c r="E31" s="2">
        <v>3</v>
      </c>
      <c r="F31" s="5" t="s">
        <v>205</v>
      </c>
      <c r="G31" s="11" t="s">
        <v>208</v>
      </c>
      <c r="H31" s="8" t="s">
        <v>209</v>
      </c>
      <c r="I31" s="8" t="s">
        <v>210</v>
      </c>
      <c r="J31" s="8" t="s">
        <v>211</v>
      </c>
      <c r="K31" s="13">
        <f t="shared" si="4"/>
        <v>3</v>
      </c>
    </row>
    <row r="32" spans="2:11" ht="75" x14ac:dyDescent="0.35">
      <c r="B32" s="1">
        <f t="shared" si="6"/>
        <v>19</v>
      </c>
      <c r="C32" s="2">
        <v>2</v>
      </c>
      <c r="D32" s="3" t="s">
        <v>137</v>
      </c>
      <c r="E32" s="2">
        <v>4</v>
      </c>
      <c r="F32" s="5" t="s">
        <v>233</v>
      </c>
      <c r="G32" s="10" t="s">
        <v>234</v>
      </c>
      <c r="H32" s="3" t="s">
        <v>235</v>
      </c>
      <c r="I32" s="3" t="s">
        <v>236</v>
      </c>
      <c r="J32" s="3" t="s">
        <v>237</v>
      </c>
      <c r="K32" s="13">
        <f t="shared" si="4"/>
        <v>4</v>
      </c>
    </row>
    <row r="33" spans="2:11" ht="75" x14ac:dyDescent="0.35">
      <c r="B33" s="1">
        <f t="shared" si="6"/>
        <v>20</v>
      </c>
      <c r="C33" s="2">
        <v>2</v>
      </c>
      <c r="D33" s="3" t="s">
        <v>137</v>
      </c>
      <c r="E33" s="2">
        <v>4</v>
      </c>
      <c r="F33" s="5" t="s">
        <v>240</v>
      </c>
      <c r="G33" s="10" t="s">
        <v>241</v>
      </c>
      <c r="H33" s="3" t="s">
        <v>242</v>
      </c>
      <c r="I33" s="3" t="s">
        <v>243</v>
      </c>
      <c r="J33" s="3" t="s">
        <v>244</v>
      </c>
      <c r="K33" s="13">
        <f t="shared" si="4"/>
        <v>4</v>
      </c>
    </row>
    <row r="34" spans="2:11" ht="50" x14ac:dyDescent="0.35">
      <c r="B34" s="1">
        <f t="shared" si="6"/>
        <v>21</v>
      </c>
      <c r="C34" s="2">
        <v>3</v>
      </c>
      <c r="D34" s="3" t="s">
        <v>247</v>
      </c>
      <c r="E34" s="2">
        <v>1</v>
      </c>
      <c r="F34" s="5" t="s">
        <v>248</v>
      </c>
      <c r="G34" s="9" t="s">
        <v>249</v>
      </c>
      <c r="H34" s="7" t="s">
        <v>250</v>
      </c>
      <c r="I34" s="7" t="s">
        <v>251</v>
      </c>
      <c r="J34" s="7" t="s">
        <v>252</v>
      </c>
      <c r="K34" s="13">
        <f t="shared" si="4"/>
        <v>1</v>
      </c>
    </row>
    <row r="35" spans="2:11" ht="62.5" x14ac:dyDescent="0.35">
      <c r="B35" s="1">
        <f t="shared" si="6"/>
        <v>22</v>
      </c>
      <c r="C35" s="2">
        <v>3</v>
      </c>
      <c r="D35" s="3" t="s">
        <v>247</v>
      </c>
      <c r="E35" s="2">
        <v>1</v>
      </c>
      <c r="F35" s="5" t="s">
        <v>364</v>
      </c>
      <c r="G35" s="10" t="s">
        <v>254</v>
      </c>
      <c r="H35" s="3" t="s">
        <v>255</v>
      </c>
      <c r="I35" s="3" t="s">
        <v>256</v>
      </c>
      <c r="J35" s="3" t="s">
        <v>257</v>
      </c>
      <c r="K35" s="13">
        <f t="shared" si="4"/>
        <v>1</v>
      </c>
    </row>
    <row r="36" spans="2:11" ht="50" x14ac:dyDescent="0.35">
      <c r="B36" s="1">
        <f t="shared" si="6"/>
        <v>23</v>
      </c>
      <c r="C36" s="2">
        <v>3</v>
      </c>
      <c r="D36" s="3" t="s">
        <v>247</v>
      </c>
      <c r="E36" s="2">
        <v>1</v>
      </c>
      <c r="F36" s="5" t="s">
        <v>258</v>
      </c>
      <c r="G36" s="10" t="s">
        <v>259</v>
      </c>
      <c r="H36" s="3" t="s">
        <v>260</v>
      </c>
      <c r="I36" s="3" t="s">
        <v>261</v>
      </c>
      <c r="J36" s="3" t="s">
        <v>262</v>
      </c>
      <c r="K36" s="13">
        <f t="shared" si="4"/>
        <v>1</v>
      </c>
    </row>
    <row r="37" spans="2:11" ht="50" x14ac:dyDescent="0.35">
      <c r="B37" s="1">
        <f t="shared" ref="B37:B47" si="7">ROW()-ROW($B$13)</f>
        <v>24</v>
      </c>
      <c r="C37" s="2">
        <v>3</v>
      </c>
      <c r="D37" s="3" t="s">
        <v>247</v>
      </c>
      <c r="E37" s="2">
        <v>1</v>
      </c>
      <c r="F37" s="5" t="s">
        <v>265</v>
      </c>
      <c r="G37" s="10" t="s">
        <v>266</v>
      </c>
      <c r="H37" s="3" t="s">
        <v>267</v>
      </c>
      <c r="I37" s="3" t="s">
        <v>268</v>
      </c>
      <c r="J37" s="3" t="s">
        <v>269</v>
      </c>
      <c r="K37" s="13">
        <f t="shared" si="4"/>
        <v>1</v>
      </c>
    </row>
    <row r="38" spans="2:11" ht="50" x14ac:dyDescent="0.35">
      <c r="B38" s="1">
        <f t="shared" si="7"/>
        <v>25</v>
      </c>
      <c r="C38" s="2">
        <v>3</v>
      </c>
      <c r="D38" s="3" t="s">
        <v>247</v>
      </c>
      <c r="E38" s="2">
        <v>2</v>
      </c>
      <c r="F38" s="5" t="s">
        <v>276</v>
      </c>
      <c r="G38" s="10" t="s">
        <v>277</v>
      </c>
      <c r="H38" s="3" t="s">
        <v>278</v>
      </c>
      <c r="I38" s="3" t="s">
        <v>279</v>
      </c>
      <c r="J38" s="3" t="s">
        <v>280</v>
      </c>
      <c r="K38" s="13">
        <f t="shared" si="4"/>
        <v>2</v>
      </c>
    </row>
    <row r="39" spans="2:11" ht="50" x14ac:dyDescent="0.35">
      <c r="B39" s="1">
        <f t="shared" si="7"/>
        <v>26</v>
      </c>
      <c r="C39" s="2">
        <v>3</v>
      </c>
      <c r="D39" s="3" t="s">
        <v>247</v>
      </c>
      <c r="E39" s="2">
        <v>2</v>
      </c>
      <c r="F39" s="5" t="s">
        <v>285</v>
      </c>
      <c r="G39" s="10" t="s">
        <v>286</v>
      </c>
      <c r="H39" s="3" t="s">
        <v>287</v>
      </c>
      <c r="I39" s="3" t="s">
        <v>288</v>
      </c>
      <c r="J39" s="3" t="s">
        <v>289</v>
      </c>
      <c r="K39" s="13">
        <f t="shared" si="4"/>
        <v>2</v>
      </c>
    </row>
    <row r="40" spans="2:11" ht="50" x14ac:dyDescent="0.35">
      <c r="B40" s="1">
        <f t="shared" si="7"/>
        <v>27</v>
      </c>
      <c r="C40" s="2">
        <v>3</v>
      </c>
      <c r="D40" s="3" t="s">
        <v>247</v>
      </c>
      <c r="E40" s="2">
        <v>2</v>
      </c>
      <c r="F40" s="5" t="s">
        <v>290</v>
      </c>
      <c r="G40" s="11" t="s">
        <v>291</v>
      </c>
      <c r="H40" s="8" t="s">
        <v>292</v>
      </c>
      <c r="I40" s="8" t="s">
        <v>293</v>
      </c>
      <c r="J40" s="8" t="s">
        <v>294</v>
      </c>
      <c r="K40" s="13">
        <f t="shared" si="4"/>
        <v>2</v>
      </c>
    </row>
    <row r="41" spans="2:11" ht="62.5" x14ac:dyDescent="0.35">
      <c r="B41" s="1">
        <f t="shared" si="7"/>
        <v>28</v>
      </c>
      <c r="C41" s="2">
        <v>3</v>
      </c>
      <c r="D41" s="3" t="s">
        <v>247</v>
      </c>
      <c r="E41" s="2">
        <v>2</v>
      </c>
      <c r="F41" s="5" t="s">
        <v>295</v>
      </c>
      <c r="G41" s="11" t="s">
        <v>296</v>
      </c>
      <c r="H41" s="8" t="s">
        <v>297</v>
      </c>
      <c r="I41" s="8" t="s">
        <v>298</v>
      </c>
      <c r="J41" s="8" t="s">
        <v>299</v>
      </c>
      <c r="K41" s="13">
        <f t="shared" si="4"/>
        <v>2</v>
      </c>
    </row>
    <row r="42" spans="2:11" ht="50" x14ac:dyDescent="0.35">
      <c r="B42" s="1">
        <f t="shared" si="7"/>
        <v>29</v>
      </c>
      <c r="C42" s="2">
        <v>3</v>
      </c>
      <c r="D42" s="3" t="s">
        <v>247</v>
      </c>
      <c r="E42" s="2">
        <v>2</v>
      </c>
      <c r="F42" s="5" t="s">
        <v>300</v>
      </c>
      <c r="G42" s="11" t="s">
        <v>301</v>
      </c>
      <c r="H42" s="8" t="s">
        <v>302</v>
      </c>
      <c r="I42" s="8" t="s">
        <v>303</v>
      </c>
      <c r="J42" s="8" t="s">
        <v>304</v>
      </c>
      <c r="K42" s="13">
        <f t="shared" si="4"/>
        <v>2</v>
      </c>
    </row>
    <row r="43" spans="2:11" ht="50" x14ac:dyDescent="0.35">
      <c r="B43" s="1">
        <f t="shared" si="7"/>
        <v>30</v>
      </c>
      <c r="C43" s="2">
        <v>3</v>
      </c>
      <c r="D43" s="3" t="s">
        <v>247</v>
      </c>
      <c r="E43" s="2">
        <v>3</v>
      </c>
      <c r="F43" s="5" t="s">
        <v>309</v>
      </c>
      <c r="G43" s="10" t="s">
        <v>310</v>
      </c>
      <c r="H43" s="3" t="s">
        <v>311</v>
      </c>
      <c r="I43" s="3" t="s">
        <v>312</v>
      </c>
      <c r="J43" s="3" t="s">
        <v>313</v>
      </c>
      <c r="K43" s="13">
        <f t="shared" si="4"/>
        <v>3</v>
      </c>
    </row>
    <row r="44" spans="2:11" ht="75" x14ac:dyDescent="0.35">
      <c r="B44" s="1">
        <f t="shared" si="7"/>
        <v>31</v>
      </c>
      <c r="C44" s="2">
        <v>3</v>
      </c>
      <c r="D44" s="3" t="s">
        <v>247</v>
      </c>
      <c r="E44" s="2">
        <v>3</v>
      </c>
      <c r="F44" s="5" t="s">
        <v>314</v>
      </c>
      <c r="G44" s="10" t="s">
        <v>315</v>
      </c>
      <c r="H44" s="3" t="s">
        <v>316</v>
      </c>
      <c r="I44" s="3" t="s">
        <v>317</v>
      </c>
      <c r="J44" s="3" t="s">
        <v>318</v>
      </c>
      <c r="K44" s="13">
        <f t="shared" si="4"/>
        <v>3</v>
      </c>
    </row>
    <row r="45" spans="2:11" ht="100" x14ac:dyDescent="0.35">
      <c r="B45" s="1">
        <f t="shared" si="7"/>
        <v>32</v>
      </c>
      <c r="C45" s="2">
        <v>3</v>
      </c>
      <c r="D45" s="3" t="s">
        <v>247</v>
      </c>
      <c r="E45" s="2">
        <v>4</v>
      </c>
      <c r="F45" s="5" t="s">
        <v>336</v>
      </c>
      <c r="G45" s="10" t="s">
        <v>337</v>
      </c>
      <c r="H45" s="3" t="s">
        <v>338</v>
      </c>
      <c r="I45" s="3" t="s">
        <v>339</v>
      </c>
      <c r="J45" s="3" t="s">
        <v>340</v>
      </c>
      <c r="K45" s="13">
        <f t="shared" si="4"/>
        <v>4</v>
      </c>
    </row>
    <row r="46" spans="2:11" ht="87.5" x14ac:dyDescent="0.35">
      <c r="B46" s="1">
        <f t="shared" si="7"/>
        <v>33</v>
      </c>
      <c r="C46" s="2">
        <v>3</v>
      </c>
      <c r="D46" s="3" t="s">
        <v>247</v>
      </c>
      <c r="E46" s="2">
        <v>4</v>
      </c>
      <c r="F46" s="5" t="s">
        <v>348</v>
      </c>
      <c r="G46" s="11" t="s">
        <v>349</v>
      </c>
      <c r="H46" s="8" t="s">
        <v>350</v>
      </c>
      <c r="I46" s="8" t="s">
        <v>351</v>
      </c>
      <c r="J46" s="8" t="s">
        <v>352</v>
      </c>
      <c r="K46" s="13">
        <f t="shared" si="4"/>
        <v>4</v>
      </c>
    </row>
    <row r="47" spans="2:11" ht="100" x14ac:dyDescent="0.35">
      <c r="B47" s="1">
        <f t="shared" si="7"/>
        <v>34</v>
      </c>
      <c r="C47" s="2">
        <v>3</v>
      </c>
      <c r="D47" s="3" t="s">
        <v>247</v>
      </c>
      <c r="E47" s="2">
        <v>4</v>
      </c>
      <c r="F47" s="5" t="s">
        <v>353</v>
      </c>
      <c r="G47" s="11" t="s">
        <v>354</v>
      </c>
      <c r="H47" s="8" t="s">
        <v>355</v>
      </c>
      <c r="I47" s="8" t="s">
        <v>356</v>
      </c>
      <c r="J47" s="8" t="s">
        <v>357</v>
      </c>
      <c r="K47" s="13">
        <f t="shared" si="4"/>
        <v>4</v>
      </c>
    </row>
  </sheetData>
  <autoFilter ref="B13:M71" xr:uid="{B005C0B0-9D89-4729-AC6E-7F1010ED0730}"/>
  <mergeCells count="6">
    <mergeCell ref="F11:F12"/>
    <mergeCell ref="G11:J11"/>
    <mergeCell ref="B11:B12"/>
    <mergeCell ref="C11:C12"/>
    <mergeCell ref="D11:D12"/>
    <mergeCell ref="E11:E12"/>
  </mergeCells>
  <conditionalFormatting sqref="F6:H9">
    <cfRule type="expression" dxfId="0" priority="1">
      <formula>F6&lt;2</formula>
    </cfRule>
  </conditionalFormatting>
  <pageMargins left="0.7" right="0.7" top="0.75" bottom="0.75" header="0.3" footer="0.3"/>
  <pageSetup scale="32" orientation="portrait" horizontalDpi="1200" verticalDpi="1200" r:id="rId1"/>
  <colBreaks count="1" manualBreakCount="1">
    <brk id="10" max="1048575" man="1"/>
  </colBreaks>
</worksheet>
</file>

<file path=docMetadata/LabelInfo.xml><?xml version="1.0" encoding="utf-8"?>
<clbl:labelList xmlns:clbl="http://schemas.microsoft.com/office/2020/mipLabelMetadata">
  <clbl:label id="{8d793fc4-a71f-4652-9576-da0ac3edd3bb}" enabled="1" method="Standard" siteId="{8bc01b57-838e-4194-982d-4c58278d0de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Sheet1</vt:lpstr>
      <vt:lpstr>P10_final</vt:lpstr>
      <vt:lpstr>P10_final!Print_Area</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Nong Thi Huong</dc:creator>
  <cp:lastModifiedBy>Hien, Vu Bich Hien</cp:lastModifiedBy>
  <cp:lastPrinted>2025-07-01T12:17:07Z</cp:lastPrinted>
  <dcterms:created xsi:type="dcterms:W3CDTF">2025-07-01T11:38:19Z</dcterms:created>
  <dcterms:modified xsi:type="dcterms:W3CDTF">2026-05-19T23:51:20Z</dcterms:modified>
</cp:coreProperties>
</file>