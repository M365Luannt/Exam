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Tài liệu\DGNL\DGNL-2026 2\DGNL-2026\"/>
    </mc:Choice>
  </mc:AlternateContent>
  <xr:revisionPtr revIDLastSave="0" documentId="13_ncr:1_{A745CF7D-25E3-488C-BAA6-2843DBABD9BD}" xr6:coauthVersionLast="47" xr6:coauthVersionMax="47" xr10:uidLastSave="{00000000-0000-0000-0000-000000000000}"/>
  <bookViews>
    <workbookView xWindow="-120" yWindow="-120" windowWidth="29040" windowHeight="15720" xr2:uid="{0A323993-6B0E-4465-9440-DABB234748ED}"/>
  </bookViews>
  <sheets>
    <sheet name="P11" sheetId="1" r:id="rId1"/>
  </sheets>
  <definedNames>
    <definedName name="_xlnm._FilterDatabase" localSheetId="0" hidden="1">'P11'!$B$13:$M$137</definedName>
    <definedName name="_xlnm.Print_Area" localSheetId="0">'P11'!$B$1:$L$113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1" l="1"/>
  <c r="B48" i="1"/>
  <c r="B49" i="1"/>
  <c r="B50" i="1"/>
  <c r="B51" i="1"/>
  <c r="B52" i="1"/>
  <c r="B53" i="1"/>
  <c r="B54" i="1"/>
  <c r="B55" i="1"/>
  <c r="B56" i="1"/>
  <c r="B57" i="1"/>
  <c r="B58" i="1"/>
  <c r="B59" i="1"/>
  <c r="B60" i="1"/>
  <c r="B61" i="1"/>
  <c r="B62" i="1"/>
  <c r="B63" i="1"/>
  <c r="B64" i="1"/>
  <c r="F7" i="1"/>
  <c r="G7" i="1"/>
  <c r="H7" i="1"/>
  <c r="F8" i="1"/>
  <c r="G8" i="1"/>
  <c r="H8" i="1"/>
  <c r="F9" i="1"/>
  <c r="G9" i="1"/>
  <c r="H9" i="1"/>
  <c r="H6" i="1" l="1"/>
  <c r="G6" i="1"/>
  <c r="F6" i="1"/>
  <c r="B34" i="1"/>
  <c r="B33" i="1"/>
  <c r="B32" i="1"/>
  <c r="B31" i="1"/>
  <c r="B30" i="1"/>
  <c r="B29" i="1"/>
  <c r="B28" i="1"/>
  <c r="B27" i="1"/>
  <c r="B26" i="1"/>
  <c r="B25" i="1"/>
  <c r="B24" i="1"/>
  <c r="B23" i="1"/>
  <c r="B22" i="1"/>
  <c r="B21" i="1"/>
  <c r="B20" i="1"/>
  <c r="B19" i="1"/>
  <c r="B18" i="1"/>
  <c r="B17" i="1"/>
  <c r="B16" i="1"/>
  <c r="B15" i="1"/>
  <c r="B14" i="1"/>
  <c r="B46" i="1"/>
  <c r="B45" i="1"/>
  <c r="B44" i="1"/>
  <c r="B43" i="1"/>
  <c r="B42" i="1"/>
  <c r="B41" i="1"/>
  <c r="B40" i="1"/>
  <c r="B39" i="1"/>
  <c r="B38" i="1"/>
  <c r="B37" i="1"/>
  <c r="B36" i="1"/>
  <c r="B35" i="1"/>
  <c r="C13" i="1"/>
  <c r="D13" i="1"/>
  <c r="E13" i="1"/>
  <c r="F13" i="1"/>
  <c r="G13" i="1"/>
  <c r="H13" i="1"/>
  <c r="I13" i="1"/>
  <c r="J13" i="1"/>
  <c r="B13" i="1"/>
  <c r="H5" i="1" l="1"/>
  <c r="E8" i="1"/>
  <c r="E9" i="1"/>
  <c r="F5" i="1"/>
  <c r="E7" i="1"/>
  <c r="G5" i="1"/>
  <c r="E6" i="1"/>
  <c r="E5" i="1" l="1"/>
</calcChain>
</file>

<file path=xl/sharedStrings.xml><?xml version="1.0" encoding="utf-8"?>
<sst xmlns="http://schemas.openxmlformats.org/spreadsheetml/2006/main" count="316" uniqueCount="265">
  <si>
    <t>STT</t>
  </si>
  <si>
    <t>Mã khía cạnh</t>
  </si>
  <si>
    <t>Khía cạnh</t>
  </si>
  <si>
    <t>Cấp độ</t>
  </si>
  <si>
    <t>Đáp án đúng</t>
  </si>
  <si>
    <t>Phương án sai  1</t>
  </si>
  <si>
    <t>Phương án sai 2</t>
  </si>
  <si>
    <t>Phương án sai 3</t>
  </si>
  <si>
    <t>Câu hỏi</t>
  </si>
  <si>
    <t>Đáp án</t>
  </si>
  <si>
    <t xml:space="preserve">                        Khía cạnh
   Cấp độ                    </t>
  </si>
  <si>
    <t>TỔNG</t>
  </si>
  <si>
    <t>Quy trình phát triển ứng dụng: Xây dựng quy trình và tổ chức triển khai phát triển ứng dụng</t>
  </si>
  <si>
    <t>Lập trình: Viết mã (code) để tạo ra các chức năng cụ thể trong phần mềm</t>
  </si>
  <si>
    <t>Cấu hình phần mềm: Tùy chỉnh và triển khai phần mềm trên các nền tảng khác nhau.</t>
  </si>
  <si>
    <t>Chuỗi hoạt động nào sau đây phù hợp nhất trong quy trình phát triển phần mềm nói chung</t>
  </si>
  <si>
    <t>Phân tích yêu cầu, Thiết kế hệ thống, Phát triển phần mềm, Kiểm thử phần mềm, Triển khai hệ thống môi trường thật</t>
  </si>
  <si>
    <t>Thiết kế hệ thống, Kiểm thử phần mềm, Phân tích yêu cầu, Phát triển phần mềm, Triển khai hệ thống môi trường thật</t>
  </si>
  <si>
    <t>Phân tích yêu cầu, Phát triển phần mềm, Kiểm thử phần mềm, Thiết kế hệ thống, Triển khai hệ thống môi trường thật</t>
  </si>
  <si>
    <t>Phát triển phần mềm, Phân tích yêu cầu, Thiết kế hệ thống, Kiểm thử phần mềm, Triển khai hệ thống môi trường thật</t>
  </si>
  <si>
    <t>Trong mô hình Agile, mỗi chu kỳ phát triển phần mềm được gọi là gì?</t>
  </si>
  <si>
    <t>Sprint</t>
  </si>
  <si>
    <t>Phase</t>
  </si>
  <si>
    <t>Loop</t>
  </si>
  <si>
    <t>Cycle</t>
  </si>
  <si>
    <t>Giai đoạn kiểm thử phần mềm nhằm mục đích gì?</t>
  </si>
  <si>
    <t>Phát hiện và sửa lỗi trong phần mềm</t>
  </si>
  <si>
    <t>Thiết kế giao diện người dùng</t>
  </si>
  <si>
    <t>Tối ưu hóa hiệu suất hệ thống</t>
  </si>
  <si>
    <t>Đảm bảo quá trình phát triển phần mềm tuân thủ đúng các bước</t>
  </si>
  <si>
    <t>Trong mô hình DevOps, công cụ nào sau đây thường được sử dụng để tự động hóa triển khai?</t>
  </si>
  <si>
    <t>Jenkins</t>
  </si>
  <si>
    <t>Trello</t>
  </si>
  <si>
    <t>Figma</t>
  </si>
  <si>
    <t>Slack</t>
  </si>
  <si>
    <t>Một công ty phần mềm đang triển khai hệ thống quản lý nội bộ. Sau khi triển khai, người dùng phản ánh rằng hệ thống không thân thiện và khó sử dụng, dù đã được kiểm thử đầy đủ. Nguyên nhân có thể nằm ở giai đoạn nào?</t>
  </si>
  <si>
    <t>Phân tích yêu cầu không thu thập đầy đủ ý kiến người dùng cuối</t>
  </si>
  <si>
    <t>Thiết kế giao diện người dùng không được kiểm thử tự động</t>
  </si>
  <si>
    <t>Sprint quá ngắn nên không đủ thời gian phát triển</t>
  </si>
  <si>
    <t>Không có tài liệu hướng dẫn sử dụng</t>
  </si>
  <si>
    <t>Trong một dự án phần mềm lớn, nhóm phát triển quyết định sử dụng mô hình Scaled Agile Framework (SAFe). Mục tiêu chính của việc áp dụng SAFe là gì?</t>
  </si>
  <si>
    <t>Điều phối nhiều nhóm Agile làm việc cùng nhau theo chiến lược chung</t>
  </si>
  <si>
    <t>Tăng tốc độ phát triển bằng cách loại bỏ kiểm thử</t>
  </si>
  <si>
    <t>Tối ưu hóa chi phí bằng cách giảm số lượng nhóm</t>
  </si>
  <si>
    <t>Tập trung phát triển từng module độc lập mà không cần phối hợp</t>
  </si>
  <si>
    <t>Trong một Sprint của dự án áp dụng Agile và DevOps tại Napas, một bản cập nhật lỗi đã được đưa lên môi trường production vì pipeline CI/CD không kiểm tra hồi quy đầy đủ. Dev đã merge mã nhưng Ops không đối chiếu lại kết quả kiểm thử do thiếu checklist và không có cảnh báo lỗi tự động. Anh/Chị cần đề xuất giải pháp toàn diện để ngăn chặn lặp lại sai sót này trong những Sprint tiếp theo.</t>
  </si>
  <si>
    <t>Thiết lập quy trình CI/CD chặt chẽ với kiểm thử hồi quy tự động, checklist triển khai rõ ràng, cảnh báo lỗi tích hợp và phối hợp chặt giữa Dev và Ops trong từng bước release</t>
  </si>
  <si>
    <t>Giao toàn quyền kiểm tra và triển khai cho nhóm vận hành để tránh sai sót từ nhóm lập trình, đồng thời tách vai trò giữa người phát triển và triển khai để giảm xung đột trách nhiệm kỹ thuật.</t>
  </si>
  <si>
    <t>Áp dụng quy trình staging kéo dài kết hợp checklist kiểm thử tay trước mỗi lần deploy, nhằm đảm bảo không bỏ sót lỗi nhưng vẫn giữ tính linh hoạt trong triển khai.</t>
  </si>
  <si>
    <t>Phân loại các bản cập nhật theo mức độ rủi ro và kiểm thử riêng từng loại bằng kịch bản viết tay, thay vì kiểm thử hồi quy toàn diện tích hợp trong pipeline để tiết kiệm thời gian kiểm thử.</t>
  </si>
  <si>
    <t>Đoạn code Java sau có mục đích gì?
int[] arr = {1, 2, 3, 4, 5};
int count = 0;
for (int i = 0; i &lt; arr.length; i++) {
    if (arr[i] % 2 == 1 &amp;&amp; i % 2 == 0) {
        count++;
    }
}
System.out.println(count);</t>
  </si>
  <si>
    <t>Đếm số phần tử lẻ ở vị trí chẵn</t>
  </si>
  <si>
    <t>Đếm số phần tử chẵn ở vị trí chẵn</t>
  </si>
  <si>
    <t>Đếm số phần tử lẻ ở vị trí lẻ</t>
  </si>
  <si>
    <t>Đếm số phần tử chẵn ở vị trí lẻ</t>
  </si>
  <si>
    <t>Đoạn code viết bằng C# có mục đích gì?
int[] nums = {1, 2, 3, 4, 5};
int sum = 0;
foreach (int n in nums) {
    if (n % 2 != 0) {
        sum += n;
    }
}
Console.WriteLine(sum);</t>
  </si>
  <si>
    <t>Tính tổng các số lẻ trong mảng</t>
  </si>
  <si>
    <t>Tính tổng các số chẵn trong mảng</t>
  </si>
  <si>
    <t>Tính tổng tất cả các phần tử</t>
  </si>
  <si>
    <t>In ra các số lẻ trong mảng</t>
  </si>
  <si>
    <t>Khi nào nên tách một đoạn mã thành một hàm riêng?</t>
  </si>
  <si>
    <t>Khi đoạn mã được lặp lại nhiều lần hoặc có mục đích rõ ràng</t>
  </si>
  <si>
    <t>Khi đoạn mã dài hơn 3 dòng</t>
  </si>
  <si>
    <t>Khi đoạn mã chứa vòng lặp</t>
  </si>
  <si>
    <t>Khi đoạn mã không liên quan đến UI</t>
  </si>
  <si>
    <t>Nguyên tắc nào sau đây giúp đảm bảo hàm dễ kiểm thử (testable)?</t>
  </si>
  <si>
    <t>Hàm nên có đầu vào rõ ràng và không phụ thuộc trạng thái bên ngoài</t>
  </si>
  <si>
    <t>Hàm nên sử dụng biến toàn cục</t>
  </si>
  <si>
    <t>Hàm nên có nhiều tham số để linh hoạt</t>
  </si>
  <si>
    <t>Hàm nên gọi trực tiếp các API bên ngoài</t>
  </si>
  <si>
    <t>Bạn cần xử lý 10.000 giao dịch mỗi giây với độ trễ dưới 50ms/giao dịch. Hiện tại, hệ thống sử dụng JDBC để ghi từng giao dịch vào cơ sở dữ liệu quan hệ. Giải pháp nào sau đây giúp cải thiện hiệu năng tốt nhất?</t>
  </si>
  <si>
    <t>Dùng batch insert thay vì insert từng dòng</t>
  </si>
  <si>
    <t>Dùng Thread.sleep(10) giữa các giao dịch để giảm tải</t>
  </si>
  <si>
    <t>Ghi log ra file thay vì database</t>
  </si>
  <si>
    <t>Tăng timeout của JDBC connection</t>
  </si>
  <si>
    <t>Bạn đang tối ưu một hệ thống xử lý giao dịch realtime sử dụng cơ sở dữ liệu quan hệ. Việc ghi dữ liệu gây nghẽn cổ chai. Giải pháp nào sau đây giúp cải thiện hiệu năng mà vẫn đảm bảo tính toàn vẹn dữ liệu?</t>
  </si>
  <si>
    <t>Dùng cơ chế ghi bất đồng bộ (asynchronous write) kết hợp với hàng đợi</t>
  </si>
  <si>
    <t>Ghi dữ liệu vào file tạm và đồng bộ sau</t>
  </si>
  <si>
    <t>Dùng NoSQL thay thế hoàn toàn</t>
  </si>
  <si>
    <t>Tăng số lượng transaction commit mỗi giây</t>
  </si>
  <si>
    <t>Sau khi kiểm tra hệ thống API nội bộ, phát hiện một endpoint có thể truy xuất dữ liệu nhạy cảm mà không qua xác thực vì bị bỏ qua cấu hình bảo vệ trong môi trường kiểm thử. Endpoint này vô tình được mở sang môi trường thật thông qua một bản build CI/CD chưa được rà soát. Anh/Chị cần đề xuất giải pháp để xử lý cả sự cố hiện tại và ngăn chặn lặp lại.</t>
  </si>
  <si>
    <t>Ngay lập tức vô hiệu hóa endpoint trên production, rà soát toàn bộ pipeline CI/CD để bổ sung bước kiểm tra bảo mật trước khi deploy, và áp dụng kiểm thử bảo mật tự động (security scanning) cho các bản build</t>
  </si>
  <si>
    <t>Cấu hình giới hạn truy cập API theo IP nội bộ và khoá tạm thời endpoint bị lỗi, kết hợp yêu cầu đội vận hành giám sát thủ công mà không sửa trực tiếp trong pipeline phát hành.</t>
  </si>
  <si>
    <t>Cập nhật xác thực cho endpoint trong phiên bản sau và đề nghị bộ phận vận hành theo dõi manual log, thay vì kiểm tra cấu hình tự động tích hợp vào quy trình CI/CD.</t>
  </si>
  <si>
    <t>Tạo cơ chế ghi log riêng cho các API nhạy cảm để rà soát thủ công sau mỗi lần deploy, đồng thời cảnh báo nếu dữ liệu được truy xuất bất thường, nhưng không kiểm soát từ gốc pipeline.</t>
  </si>
  <si>
    <t>Cấu hình phần mềm là gì trong quá trình phát triển ứng dụng?</t>
  </si>
  <si>
    <t>Là tập hợp các thiết lập và tham số giúp điều chỉnh cách phần mềm hoạt động theo từng môi trường mà không cần thay đổi mã nguồn</t>
  </si>
  <si>
    <t>Là việc chỉnh sửa mã nguồn để phù hợp với từng yêu cầu nghiệp vụ</t>
  </si>
  <si>
    <t>Là thao tác cập nhật dữ liệu đầu vào để kiểm thử hệ thống</t>
  </si>
  <si>
    <t>Là việc thiết kế giao diện ứng dụng sao cho thân thiện với người dùng</t>
  </si>
  <si>
    <t>Cấu hình phần mềm nằm trong giai đoạn nào của phát triển ứng dụng?</t>
  </si>
  <si>
    <t xml:space="preserve">Triển khai </t>
  </si>
  <si>
    <t>Lập kế hoạch và phân tích yêu cầu</t>
  </si>
  <si>
    <t xml:space="preserve"> Thiết kế phần mềm</t>
  </si>
  <si>
    <t xml:space="preserve"> Phát triển ứng dụng</t>
  </si>
  <si>
    <t>Điểm nào sau đây là đặc điểm tốt của một unit test?</t>
  </si>
  <si>
    <t>Có thể chạy độc lập và nhanh chóng</t>
  </si>
  <si>
    <t>Phụ thuộc vào cơ sở dữ liệu thật</t>
  </si>
  <si>
    <t>Gọi API bên ngoài để kiểm tra dữ liệu</t>
  </si>
  <si>
    <t>Cần cấu hình phức tạp để chạy</t>
  </si>
  <si>
    <t>Mục đích sử dụng nhánh (branch) quản lý mã nguồn khi phát triển tính năng mới?</t>
  </si>
  <si>
    <t>Để cô lập thay đổi và tránh ảnh hưởng đến mã chính</t>
  </si>
  <si>
    <t xml:space="preserve"> Để xóa code cũ dễ hơn</t>
  </si>
  <si>
    <t>Để làm việc trực tiếp trên nhánh main</t>
  </si>
  <si>
    <t>Để tăng tốc độ biên dịch</t>
  </si>
  <si>
    <t>Khi triển khai ứng dụng tài chính, vì sao cần tách cấu hình khỏi mã nguồn?</t>
  </si>
  <si>
    <t>Để bảo mật thông tin nhạy cảm và linh hoạt cấu hình theo môi trường mà không sửa mã nguồn.</t>
  </si>
  <si>
    <t>Để tránh phải kiểm thử lại toàn bộ mã nguồn khi thay đổi thông số</t>
  </si>
  <si>
    <t>Giúp giảm kích thước ứng dụng và tăng hiệu năng xử lý</t>
  </si>
  <si>
    <t>Tạo điều kiện cho nhiều nhóm cùng chỉnh sửa mã nguồn mà không bị xung đột</t>
  </si>
  <si>
    <t>Đảm bảo bảo mật và có thể tái sử dụng cho nhiều môi trường</t>
  </si>
  <si>
    <t>Để mã nguồn dễ đọc hơn</t>
  </si>
  <si>
    <t>Giúp tối ưu hiệu năng xử lý dữ liệu</t>
  </si>
  <si>
    <t>Để dễ chuyển đổi ngôn ngữ lập trình nếu cần</t>
  </si>
  <si>
    <t>Trong quá trình phát triển phần mềm, việc tách biệt mã nguồn và cấu hình mang lại lợi ích gì?</t>
  </si>
  <si>
    <t>Giúp dễ dàng thay đổi hành vi ứng dụng mà không cần sửa mã</t>
  </si>
  <si>
    <t>Giúp mã chạy nhanh hơn</t>
  </si>
  <si>
    <t>Giúp giảm số lượng file trong dự án</t>
  </si>
  <si>
    <t>Giúp tăng kích thước file cấu hình</t>
  </si>
  <si>
    <t>Việc sử dụng biến môi trường (environment variables) để lưu thông tin cấu hình như API key, mật khẩu cơ sở dữ liệu có lợi ích gì?</t>
  </si>
  <si>
    <t>Để bảo mật và dễ thay đổi theo môi trường (dev, test, prod)</t>
  </si>
  <si>
    <t>Để dễ commit lên GitHub</t>
  </si>
  <si>
    <t>Để chia sẻ thông tin nhạy cảm với nhóm</t>
  </si>
  <si>
    <t>Việc sử dụng biến môi trường (environment variables) trong ứng dụng giúp ích gì?</t>
  </si>
  <si>
    <t>Giúp quản lý cấu hình linh hoạt, bảo mật thông tin nhạy cảm và dễ dàng thay đổi theo từng môi trường triển khai</t>
  </si>
  <si>
    <t>Giúp rút ngắn thời gian biên dịch mã nguồn</t>
  </si>
  <si>
    <t>Cho phép mã nguồn tự động cập nhật nội dung cấu hình từ hệ thống</t>
  </si>
  <si>
    <t>Giảm số lượng file cấu hình cần tạo mới mỗi lần triển khai</t>
  </si>
  <si>
    <t>Việc sử dụng biến môi trường (environment variables) trong ứng dụng giúp ích gì?
(1) dễ dàng cấu hình
(2) tách biệt cấu hình khỏi mã nguồn
(3) cấu hình ứng dụng cho các môi trường khác nhau.
(4) giúp ứng dụng xử lý hiệu năng cao hơn</t>
  </si>
  <si>
    <t>(1); (2); (3)</t>
  </si>
  <si>
    <t>(2); (3); (4)</t>
  </si>
  <si>
    <t>(1); (3); (4)</t>
  </si>
  <si>
    <t>(1); (2); (4)</t>
  </si>
  <si>
    <t>Bạn cần triển khai một hệ thống xử lý giao dịch realtime có thể mở rộng theo chiều ngang (horizontal scaling). Cấu hình nào sau đây cần được thiết kế cẩn thận để tránh lỗi trùng lặp xử lý (duplicate processing)?</t>
  </si>
  <si>
    <t>Cấu hình định danh worker và cơ chế phân phối dữ liệu (partitioning)</t>
  </si>
  <si>
    <t>Cấu hình số lượng thread trong mỗi instance</t>
  </si>
  <si>
    <t>Cấu hình timeout của kết nối DB</t>
  </si>
  <si>
    <t>Cấu hình số lượng retry khi lỗi</t>
  </si>
  <si>
    <t>Bạn đang triển khai một hệ thống xử lý giao dịch realtime đa vùng (multi-region). Làm thế nào để đảm bảo tính nhất quán dữ liệu mà vẫn giữ được độ trễ thấp?</t>
  </si>
  <si>
    <t>Dùng eventual consistency và thiết kế idempotent logic</t>
  </si>
  <si>
    <t>Dùng replication đồng bộ giữa các vùng</t>
  </si>
  <si>
    <t>Dùng distributed lock để đồng bộ giao dịch</t>
  </si>
  <si>
    <t>Dùng cơ sở dữ liệu quan hệ với replication master-master</t>
  </si>
  <si>
    <t>Sau khi triển khai cập nhật cấu hình trên một cụm máy chủ, nhóm vận hành nhận thấy một số node không áp dụng thay đổi mới do chưa đồng bộ cấu hình. Việc này không phát hiện qua pipeline CI/CD và chỉ được biết khi hệ thống có lỗi thời gian thực. Anh/Chị cần đề xuất hướng kiểm soát cấu hình trên hệ thống phân tán.</t>
  </si>
  <si>
    <t>Sử dụng công cụ quản lý cấu hình tập trung (như Ansible, Puppet, hoặc Consul), tích hợp kiểm tra đồng bộ cấu hình vào pipeline CI/CD và thiết lập cảnh báo khi có sự khác biệt giữa các node</t>
  </si>
  <si>
    <t>Thực hiện cập nhật cấu hình theo từng máy chủ thủ công và xác nhận qua nhật ký vận hành, đảm bảo mỗi máy đều nhận đúng thông số nhưng dễ thiếu đồng nhất và phụ thuộc thao tác cá nhân.</t>
  </si>
  <si>
    <t>Đóng gói cấu hình thành các biến tĩnh đã biên dịch sẵn nhằm đảm bảo tính cố định, tuy nhiên gây khó khăn trong cập nhật và không hỗ trợ kiểm tra sai lệch giữa các môi trường.</t>
  </si>
  <si>
    <t>Phân công từng kỹ sư phụ trách cấu hình một nhóm máy chủ và yêu cầu lập biên bản đối chiếu sau mỗi lần thay đổi, nhằm nâng cao trách nhiệm cá nhân nhưng thiếu cơ chế kiểm soát tự động.</t>
  </si>
  <si>
    <t>Khi kết nối đến cơ sở dữ liệu trong ứng dụng backend, kỹ thuật nào sau đây giúp tăng hiệu năng?</t>
  </si>
  <si>
    <t>Sử dụng connection pool</t>
  </si>
  <si>
    <t>Tạo kết nối mới mỗi lần truy vấn</t>
  </si>
  <si>
    <t>Dùng Thread.sleep() giữa các truy vấn</t>
  </si>
  <si>
    <t>Tăng timeout của kết nối</t>
  </si>
  <si>
    <t>Trong quy trình phát triển phần mềm, Continuous Integration (CI) giúp đạt được điều gì?</t>
  </si>
  <si>
    <t>Tối ưu hóa cơ sở dữ liệu</t>
  </si>
  <si>
    <t>Tăng tốc độ thiết kế giao diện</t>
  </si>
  <si>
    <t>Tự động hóa kiểm thử và tích hợp mã thường xuyên</t>
  </si>
  <si>
    <t>Giảm chi phí phần cứng</t>
  </si>
  <si>
    <t>Bạn đang xây dựng một hệ thống xử lý giao dịch tài chính realtime. Mỗi giao dịch cần được ghi log, kiểm tra gian lận, và cập nhật số dư tài khoản. Đoạn code hiện tại thực hiện tuần tự các bước này. Làm thế nào để tối ưu hiệu năng mà vẫn đảm bảo tính đúng đắn?</t>
  </si>
  <si>
    <t>Thực hiện kiểm tra gian lận và cập nhật số dư song song nếu độc lập</t>
  </si>
  <si>
    <t>Gộp tất cả logic vào một hàm duy nhất để giảm chi phí gọi hàm</t>
  </si>
  <si>
    <t>Ghi log sau cùng để tránh ảnh hưởng đến hiệu năng</t>
  </si>
  <si>
    <t>Dùng Thread.sleep() để giảm tải hệ thống</t>
  </si>
  <si>
    <t>Kết quả của đoạn code viết bằng java bên dưới là gì?
int[] arr = {1, 2, 3, 4, 5};
int sum = 0;
for (int i = 0; i &lt; arr.length / 2; i++) {
    sum += arr[i] + arr[arr.length - 1 - i];
}
if (arr.length % 2 == 1) {
    sum += arr[arr.length / 2];
}
System.out.println(sum);</t>
  </si>
  <si>
    <t>Bạn đang triển khai một hệ thống xử lý dữ liệu realtime có thể chạy ở nhiều môi trường (dev, staging, prod). Làm thế nào để đảm bảo cấu hình phù hợp với từng môi trường mà không thay đổi mã nguồn?</t>
  </si>
  <si>
    <t>Sử dụng biến môi trường kết hợp với file cấu hình theo profile</t>
  </si>
  <si>
    <t>Dùng if-else trong code để kiểm tra môi trường</t>
  </si>
  <si>
    <t>Tạo nhiều bản sao mã nguồn cho từng môi trường</t>
  </si>
  <si>
    <t>Gộp tất cả cấu hình vào một file duy nhất và chọn bằng tay</t>
  </si>
  <si>
    <t>Trong hệ thống xử lý giao dịch realtime, bạn cần thay đổi ngưỡng cảnh báo gian lận (fraud threshold) mà không cần khởi động lại ứng dụng. Giải pháp nào sau đây là phù hợp nhất?</t>
  </si>
  <si>
    <t>Đọc giá trị từ cơ sở dữ liệu hoặc cache và cho phép reload động</t>
  </si>
  <si>
    <t>Hard-code giá trị trong mã nguồn</t>
  </si>
  <si>
    <t>Đọc giá trị từ file cấu hình .properties khi khởi động</t>
  </si>
  <si>
    <t>Dùng biến toàn cục và cập nhật thủ công</t>
  </si>
  <si>
    <t>P11 - PHÁT TRIỂN ỨNG DỤNG CNTT</t>
  </si>
  <si>
    <t>Anh/Chị cần thực hiện việc gì trước khi bắt đầu lập trình một tính năng mới trong quy trình phát triển phần mềm?</t>
  </si>
  <si>
    <t>Xác định rõ yêu cầu, viết tài liệu và lập kế hoạch thực hiện theo quy trình phát triển</t>
  </si>
  <si>
    <t>Bắt đầu viết mã ngay sau khi nhận được ý tưởng sơ bộ từ người dùng</t>
  </si>
  <si>
    <t>Chờ người quản lý đưa ra bản thiết kế chi tiết hoàn toàn rồi mới tiến hành</t>
  </si>
  <si>
    <t>Sử dụng mã từ tính năng cũ để viết lại cho nhanh</t>
  </si>
  <si>
    <t>Tài liệu nào thường được sử dụng để làm rõ yêu cầu trước khi bắt đầu phát triển phần mềm?</t>
  </si>
  <si>
    <t>Tài liệu đặc tả yêu cầu người dùng (SRS - Software Requirements Specification)</t>
  </si>
  <si>
    <t>Tài liệu kiểm thử nội bộ để xác định lỗi tiềm năng</t>
  </si>
  <si>
    <t>Tài liệu hướng dẫn triển khai phần mềm</t>
  </si>
  <si>
    <t>Mẫu đơn xin phê duyệt tính năng mới từ cấp trên</t>
  </si>
  <si>
    <t>Anh/Chị được phân công thực hiện một tính năng trong Sprint. Điều gì cần làm để đảm bảo đúng tiến độ?</t>
  </si>
  <si>
    <t>Chủ động phân tích yêu cầu, ước lượng thời gian, cập nhật tiến độ thường xuyên và trao đổi với nhóm khi gặp vướng mắc</t>
  </si>
  <si>
    <t>Tập trung làm độc lập và chỉ báo cáo sau khi hoàn thành</t>
  </si>
  <si>
    <t>Làm nhiều công việc song song để tiết kiệm thời gian</t>
  </si>
  <si>
    <t>Ước lượng tổng thể cả Sprint rồi làm theo thứ tự linh hoạt</t>
  </si>
  <si>
    <t>Vì sao việc tham gia của lập trình viên trong các buổi phân tích yêu cầu lại quan trọng?</t>
  </si>
  <si>
    <t>Giúp lập trình viên hiểu rõ yêu cầu, đặt câu hỏi kịp thời và đề xuất giải pháp kỹ thuật phù hợp ngay từ đầu</t>
  </si>
  <si>
    <t>Để biết ai là người chịu trách nhiệm phê duyệt thiết kế</t>
  </si>
  <si>
    <t>Để điều chỉnh kế hoạch kiểm thử phù hợp ngay từ đầu</t>
  </si>
  <si>
    <t>Để ghi nhận các thay đổi từ khách hàng và tự triển khai sau đó</t>
  </si>
  <si>
    <t>Trong một dự án phát triển hệ thống thanh toán mới, một số yêu cầu nghiệp vụ được giao nhưng chưa rõ ràng, không kèm ví dụ và không có người xác nhận. Nhóm phát triển vẫn bị yêu cầu viết mã, dẫn đến lỗi nghiệp vụ sau khi triển khai. Anh/Chị cần đề xuất biện pháp tổng thể từ quy trình đến phối hợp giữa các vai trò.</t>
  </si>
  <si>
    <t>Thiết lập quy trình phân tích yêu cầu chặt chẽ, yêu cầu có người xác nhận nghiệp vụ, ví dụ minh họa rõ ràng trước khi đưa vào backlog, và tăng cường phối hợp giữa BA, PO và nhóm phát triển</t>
  </si>
  <si>
    <t>Chuyển các yêu cầu thiếu thông tin sang Sprint sau để lập trình viên có thêm thời gian chuẩn bị tài liệu cần thiết.</t>
  </si>
  <si>
    <t>Giao toàn bộ tài liệu cho tester để kiểm thử nội bộ nhằm phát hiện sai lệch yêu cầu sau khi hoàn thành lập trình.</t>
  </si>
  <si>
    <t>Yêu cầu bộ phận vận hành kiểm thử trước phiên bản UAT để xác định lỗi quy trình trước khi chuyển lên môi trường thực tế.</t>
  </si>
  <si>
    <t>Trong một dự án tích hợp liên ngân hàng, nhóm phát triển liên tục bị yêu cầu thay đổi backlog dù đang trong Sprint, dẫn đến mất kiểm soát tiến độ và chất lượng sản phẩm. Ngoài ra, chưa có cơ chế kiểm tra ảnh hưởng của thay đổi đến các mô-đun liên quan. Anh/Chị cần đề xuất biện pháp gì?</t>
  </si>
  <si>
    <t>Thiết lập quy trình quản lý thay đổi chặt chẽ, chỉ cho phép thay đổi backlog sau khi đánh giá tác động và ưu tiên, đồng thời áp dụng kiểm thử hồi quy tự động để kiểm tra ảnh hưởng đến các mô-đun liên quan</t>
  </si>
  <si>
    <t>Linh hoạt tiếp nhận thay đổi từ PO bất kỳ lúc nào để tránh mâu thuẫn và rút ngắn vòng phản hồi với khách hàng nội bộ.</t>
  </si>
  <si>
    <t>Tạm ngưng xử lý backlog mới cho đến khi PO cam kết không thay đổi thêm các yêu cầu trong Sprint hiện tại.</t>
  </si>
  <si>
    <t>Phân quyền cho nhóm kỹ thuật tự chặn các thay đổi không hợp lý mà không cần tham khảo PO hoặc nhóm nghiệp vụ.</t>
  </si>
  <si>
    <t>Khi triển khai một tính năng mới lên hệ thống giao dịch, dịch vụ không khởi động được do lỗi cấu hình giữa môi trường staging và production không đồng nhất. Pipeline chưa có bước kiểm tra cấu hình trước deploy, và nhóm triển khai không có kế hoạch rollback cụ thể. Anh/Chị cần đề xuất biện pháp xử lý và phòng ngừa với góc nhìn kỹ thuật lẫn quy trình phối hợp.</t>
  </si>
  <si>
    <t>Thiết lập bước kiểm tra cấu hình tự động trong pipeline CI/CD, chuẩn hóa cấu hình theo từng môi trường, xây dựng quy trình rollback rõ ràng và tăng cường phối hợp giữa Dev, QA và Ops trước mỗi lần triển khai</t>
  </si>
  <si>
    <t>Tách nhóm cấu hình riêng biệt cho từng nhóm triển khai và gán quyền cập nhật theo môi trường, hạn chế truy cập chéo nhằm tránh nhầm lẫn môi trường giữa Dev, Test và Ops.</t>
  </si>
  <si>
    <t>Áp dụng quy trình kiểm thử bằng tay cho từng môi trường và yêu cầu đội vận hành xác minh thủ công toàn bộ danh sách cấu hình trước khi phát hành để tăng độ chính xác khi rollout.</t>
  </si>
  <si>
    <t>Phân công vai trò kiểm tra cấu hình riêng biệt cho từng nhóm phụ trách và yêu cầu đối chiếu độc lập giữa các team, thay vì tích hợp kiểm tra tự động trong quy trình CI/CD.</t>
  </si>
  <si>
    <t>Tại sao việc xử lý ngoại lệ (exception) lại quan trọng trong lập trình?</t>
  </si>
  <si>
    <t>Giúp chương trình hoạt động ổn định hơn bằng cách xử lý các lỗi phát sinh mà không làm sập toàn bộ hệ thống</t>
  </si>
  <si>
    <t>Để giảm dung lượng chương trình bằng cách loại bỏ các câu lệnh kiểm tra điều kiện</t>
  </si>
  <si>
    <t>Cho phép bỏ qua kiểm tra dữ liệu đầu vào vì ngoại lệ sẽ xử lý sau</t>
  </si>
  <si>
    <t>Tăng tốc độ xử lý bằng cách không cần dừng chương trình nếu có lỗi</t>
  </si>
  <si>
    <t>Yếu tố nào cần ưu tiên khi viết mã nguồn để phát triển phần mềm ổn định và dễ bảo trì?</t>
  </si>
  <si>
    <t>Viết mã rõ ràng, dễ đọc và tuân theo nguyên tắc lập trình sạch (clean code)</t>
  </si>
  <si>
    <t>Viết mã ngắn gọn nhất có thể để tăng hiệu suất, không cần chia nhỏ hàm</t>
  </si>
  <si>
    <t>Sử dụng tên biến và hàm tùy ý miễn là bản thân hiểu</t>
  </si>
  <si>
    <t>Tập trung vào kết quả chạy đúng, không cần quan tâm tới cấu trúc nội bộ</t>
  </si>
  <si>
    <t>Tại sao nên sử dụng biến cục bộ thay vì biến toàn cục trong lập trình?</t>
  </si>
  <si>
    <t>Vì biến cục bộ giúp giới hạn phạm vi sử dụng, tránh xung đột và dễ kiểm soát hơn trong quá trình phát triển phần mềm</t>
  </si>
  <si>
    <t>Để tất cả các hàm trong chương trình đều sử dụng được biến đó</t>
  </si>
  <si>
    <t>Giảm dung lượng bộ nhớ khi biến toàn cục được sử dụng liên tục</t>
  </si>
  <si>
    <t>Biến toàn cục dễ bị ghi đè nên không cần dùng đến</t>
  </si>
  <si>
    <t>Trong một hàm xử lý giao dịch, vì sao cần chia nhỏ thành nhiều hàm con thay vì viết liền toàn bộ logic?</t>
  </si>
  <si>
    <t>Giúp dễ hiểu, dễ kiểm thử, tăng khả năng tái sử dụng và phát hiện lỗi nhanh hơn</t>
  </si>
  <si>
    <t>Để giảm số dòng trong chương trình và tránh phải viết chú thích</t>
  </si>
  <si>
    <t>Giúp nén toàn bộ chức năng vào một khối mã duy nhất</t>
  </si>
  <si>
    <t>Tăng hiệu suất vì gọi một hàm lớn sẽ nhanh hơn gọi nhiều hàm nhỏ</t>
  </si>
  <si>
    <t>Một chức năng xử lý file báo cáo lớn bị chậm đáng kể khi người dùng tải dữ liệu nhiều tháng. Việc xử lý đọc file và định dạng kết quả hiện đang chạy tuần tự trong một hàm. Anh/Chị cần đề xuất hướng cải thiện hiệu suất phù hợp?</t>
  </si>
  <si>
    <t>Tách riêng quá trình đọc file và xử lý định dạng, đồng thời áp dụng xử lý song song hoặc bất đồng bộ (asynchronous) để tăng tốc độ thực thi</t>
  </si>
  <si>
    <t>Chuyển toàn bộ xử lý về phía client để giảm tải server, kết hợp nén dữ liệu gửi về</t>
  </si>
  <si>
    <t>Rút gọn định dạng hiển thị để giảm thời gian xử lý thay vì cải thiện hiệu suất logic</t>
  </si>
  <si>
    <t>Giới hạn người dùng chỉ được truy xuất báo cáo trong khoảng 1 tháng để giảm dung lượng file</t>
  </si>
  <si>
    <t>Trong một module xác thực thông tin thanh toán, một số trường dữ liệu có thể sai định dạng hoặc thiếu thông tin. Anh/Chị cần xử lý như thế nào để đảm bảo tính ổn định và bảo mật khi triển khai trong môi trường thật?</t>
  </si>
  <si>
    <t>Thực hiện kiểm tra và xác thực dữ liệu đầu vào chặt chẽ, trả về thông báo lỗi rõ ràng và không để lộ thông tin nhạy cảm trong thông báo lỗi</t>
  </si>
  <si>
    <t>Chuyển toàn bộ dữ liệu sai sang file dự phòng để xử lý sau nhằm đảm bảo tiến độ xử lý</t>
  </si>
  <si>
    <t>Tự động sửa dữ liệu sai theo mẫu gần đúng đã lưu trong hệ thống để người dùng không cần sửa</t>
  </si>
  <si>
    <t>Chặn toàn bộ request nếu bất kỳ trường nào không hợp lệ để tránh lộ thông tin</t>
  </si>
  <si>
    <t>Một worker phân tích dữ liệu thời gian thực gặp sự cố rò rỉ bộ nhớ sau khi chạy liên tục 36 giờ. Cơ chế giám sát hiện tại không phát hiện mức sử dụng tăng dần, và worker không có khả năng tự khởi động lại khi gặp lỗi. Anh/Chị cần đề xuất giải pháp để xử lý và phòng tránh sự cố tương tự.</t>
  </si>
  <si>
    <t>Tích hợp cơ chế giám sát bộ nhớ chi tiết, cảnh báo ngưỡng sử dụng bất thường, và triển khai cơ chế tự động khởi động lại worker (self-healing) khi phát hiện rò rỉ hoặc lỗi nghiêm trọng</t>
  </si>
  <si>
    <t>Tăng dung lượng bộ nhớ hệ thống để worker có thêm không gian xử lý và hạn chế hiện tượng lỗi do đầy bộ nhớ, đồng thời cấu hình lại hệ điều hành để chậm xử lý cảnh báo resource.</t>
  </si>
  <si>
    <t>Chia worker thành nhiều tiến trình nhỏ chạy xen kẽ, hạn chế việc worker hoạt động liên tục nhưng không bổ sung cơ chế tự giám sát hoặc profiling trong quy trình triển khai.</t>
  </si>
  <si>
    <t>Chuyển logic xử lý sang batch chạy định kỳ thay vì stream liên tục, giúp dễ quản lý luồng dữ liệu, nhưng không giải quyết triệt để vấn đề rò rỉ hoặc khởi động lại worker khi gặp lỗi.</t>
  </si>
  <si>
    <t>Tại sao cần có cấu hình riêng cho từng môi trường như Development, Staging, và Production?</t>
  </si>
  <si>
    <t>Vì mỗi môi trường có đặc thù khác nhau nên cần cấu hình tách biệt để đảm bảo an toàn và tính ổn định</t>
  </si>
  <si>
    <t>Để tránh nhầm lẫn dữ liệu giữa các bản build</t>
  </si>
  <si>
    <t>Để người dùng cuối có thể dễ dàng can thiệp thay đổi hệ thống</t>
  </si>
  <si>
    <t>Để giảm thời gian triển khai lên từng máy chủ</t>
  </si>
  <si>
    <t>Trong một dự án tích hợp API bên thứ ba, nhóm phát hiện lỗi xác thực do cấu hình token bị trùng lẫn giữa môi trường staging và production. Vì không tách riêng file cấu hình, lỗi chỉ phát hiện khi đã triển khai. Anh/Chị cần làm gì để phòng ngừa?</t>
  </si>
  <si>
    <t>Tách cấu hình theo từng môi trường, sử dụng biến môi trường hoặc công cụ quản lý cấu hình để đảm bảo mỗi môi trường có thông tin xác thực riêng biệt</t>
  </si>
  <si>
    <t>Cập nhật lại token thủ công mỗi khi chuyển môi trường triển khai để giảm khả năng nhầm lẫn</t>
  </si>
  <si>
    <t>Tạo biến ghi nhớ token dùng chung để tránh phải thay đổi nhiều nơi khi cập nhật</t>
  </si>
  <si>
    <t>Sử dụng cùng một token cho cả staging và production để dễ kiểm thử</t>
  </si>
  <si>
    <t>Trong quá trình triển khai hệ thống quản lý giao dịch, nhóm phát triển phát hiện việc cấu hình kết nối đến cơ sở dữ liệu không đồng nhất giữa các server. Một số cấu hình hardcode trong mã khiến việc cập nhật mất nhiều thời gian. Anh/Chị cần làm gì để chuẩn hóa cấu hình?</t>
  </si>
  <si>
    <t>Tách cấu hình ra khỏi mã nguồn, sử dụng biến môi trường hoặc file cấu hình riêng theo từng môi trường để dễ quản lý và cập nhật</t>
  </si>
  <si>
    <t>Gộp tất cả cấu hình vào một file duy nhất và cập nhật thủ công từng server khi cần thay đổi</t>
  </si>
  <si>
    <t>Chuyển cấu hình về phía client để người dùng có thể điều chỉnh thông tin kết nối linh hoạt hơn</t>
  </si>
  <si>
    <t>Cài đặt lại hệ điều hành trên các server để đảm bảo thiết lập giống hệt nhau trước khi chạy ứng dụng</t>
  </si>
  <si>
    <t>Khi triển khai một bản cập nhật ứng dụng tài chính, nhóm kỹ thuật nhận thấy cấu hình log chưa được tối ưu khiến hệ thống ghi log chi tiết cả lỗi không quan trọng. Điều này gây chiếm dung lượng ổ đĩa nhanh và khiến công cụ giám sát không lọc được lỗi nghiêm trọng. Anh/Chị cần đề xuất hướng cải thiện cấu hình ghi log phù hợp với môi trường production.</t>
  </si>
  <si>
    <t>Tách các mức log rõ ràng (info, warning, error), cấu hình log rotate định kỳ, chỉ ghi error &amp; warning tại môi trường production, và lưu log trọng yếu vào hệ thống giám sát</t>
  </si>
  <si>
    <t>Giảm số lượng file log tạo ra mỗi ngày bằng cách giới hạn theo phiên bản, đồng thời xóa toàn bộ log định kỳ sau một khoảng thời gian nhất định, nhưng không kiểm soát mức độ cảnh báo và dễ bỏ sót lỗi nghiêm trọng.</t>
  </si>
  <si>
    <t>Tắt toàn bộ log ở môi trường production để đảm bảo hiệu năng, giảm tải ghi ổ cứng và hạn chế rò rỉ thông tin, tuy nhiên gây mất khả năng truy vết và xử lý sự cố khi cần.</t>
  </si>
  <si>
    <t>Ghi log chi tiết ra màn hình console để đơn giản hóa quá trình kiểm tra theo thời gian thực, nhưng khó lưu trữ lâu dài và không phân loại được mức độ lỗi.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</si>
</sst>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s>
  <cellStyleXfs count="2">
    <xf numFmtId="0" fontId="0" fillId="0" borderId="0"/>
    <xf numFmtId="0" fontId="2" fillId="0" borderId="0"/>
  </cellStyleXfs>
  <cellXfs count="31">
    <xf numFmtId="0" fontId="0" fillId="0" borderId="0" xfId="0"/>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8"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vertical="center"/>
    </xf>
    <xf numFmtId="0" fontId="6" fillId="3" borderId="2" xfId="0" applyFont="1" applyFill="1" applyBorder="1" applyAlignment="1">
      <alignment vertical="center" wrapText="1"/>
    </xf>
    <xf numFmtId="0" fontId="6" fillId="6" borderId="1" xfId="0" applyFont="1" applyFill="1" applyBorder="1" applyAlignment="1">
      <alignment horizontal="center" vertical="center" wrapText="1"/>
    </xf>
    <xf numFmtId="0" fontId="7" fillId="0" borderId="1" xfId="0" quotePrefix="1" applyFont="1" applyBorder="1" applyAlignment="1">
      <alignment horizontal="center" vertical="center" wrapText="1"/>
    </xf>
    <xf numFmtId="0" fontId="7" fillId="0" borderId="0" xfId="0" applyFont="1" applyAlignment="1">
      <alignment vertical="center"/>
    </xf>
    <xf numFmtId="0" fontId="4" fillId="5" borderId="1" xfId="0" applyFont="1" applyFill="1" applyBorder="1" applyAlignment="1">
      <alignment vertical="center" wrapText="1"/>
    </xf>
    <xf numFmtId="0" fontId="4" fillId="8" borderId="1" xfId="0" quotePrefix="1" applyFont="1" applyFill="1" applyBorder="1" applyAlignment="1">
      <alignment vertical="center" wrapText="1"/>
    </xf>
    <xf numFmtId="0" fontId="4" fillId="0" borderId="1" xfId="0" quotePrefix="1" applyFont="1" applyBorder="1" applyAlignment="1">
      <alignment vertical="center" wrapText="1"/>
    </xf>
    <xf numFmtId="0" fontId="4" fillId="8" borderId="1" xfId="0" applyFont="1" applyFill="1" applyBorder="1" applyAlignment="1">
      <alignment vertical="center" wrapText="1"/>
    </xf>
    <xf numFmtId="0" fontId="5" fillId="8" borderId="1" xfId="1" applyFont="1" applyFill="1" applyBorder="1" applyAlignment="1" applyProtection="1">
      <alignment horizontal="left" vertical="center" wrapText="1"/>
      <protection locked="0"/>
    </xf>
    <xf numFmtId="0" fontId="5" fillId="0" borderId="1" xfId="1" applyFont="1" applyBorder="1" applyAlignment="1" applyProtection="1">
      <alignment horizontal="left" vertical="center" wrapText="1"/>
      <protection locked="0"/>
    </xf>
    <xf numFmtId="0" fontId="4" fillId="10" borderId="0" xfId="0" applyFont="1" applyFill="1" applyAlignment="1">
      <alignment horizontal="center" vertical="center"/>
    </xf>
    <xf numFmtId="0" fontId="4" fillId="10" borderId="0" xfId="0" applyFont="1" applyFill="1" applyAlignment="1">
      <alignment horizontal="center" vertical="center" wrapText="1"/>
    </xf>
    <xf numFmtId="0" fontId="4" fillId="10" borderId="0" xfId="0" applyFont="1" applyFill="1" applyAlignment="1">
      <alignment vertical="center" wrapText="1"/>
    </xf>
    <xf numFmtId="0" fontId="3" fillId="10" borderId="0" xfId="0" applyFont="1" applyFill="1" applyAlignment="1">
      <alignment vertical="center"/>
    </xf>
    <xf numFmtId="0" fontId="5" fillId="10" borderId="0" xfId="1" applyFont="1" applyFill="1" applyAlignment="1" applyProtection="1">
      <alignment horizontal="left" vertical="center" wrapText="1"/>
      <protection locked="0"/>
    </xf>
    <xf numFmtId="0" fontId="4" fillId="10" borderId="0" xfId="0" quotePrefix="1" applyFont="1" applyFill="1" applyAlignment="1">
      <alignment vertical="center" wrapText="1"/>
    </xf>
    <xf numFmtId="0" fontId="3" fillId="10" borderId="0" xfId="0" applyFont="1" applyFill="1" applyAlignment="1">
      <alignment horizontal="center" vertical="center"/>
    </xf>
    <xf numFmtId="0" fontId="6"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3" borderId="1" xfId="0" applyFont="1" applyFill="1" applyBorder="1" applyAlignment="1">
      <alignment horizontal="center" vertical="center" wrapText="1"/>
    </xf>
  </cellXfs>
  <cellStyles count="2">
    <cellStyle name="Normal" xfId="0" builtinId="0"/>
    <cellStyle name="Normal 2" xfId="1" xr:uid="{17F16F5E-965D-40AC-9573-37F3BFECD5A9}"/>
  </cellStyles>
  <dxfs count="1">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1:J113"/>
  <sheetViews>
    <sheetView showGridLines="0" tabSelected="1" zoomScale="70" zoomScaleNormal="70" workbookViewId="0">
      <selection activeCell="F17" sqref="F17"/>
    </sheetView>
  </sheetViews>
  <sheetFormatPr defaultColWidth="9" defaultRowHeight="14.25" outlineLevelRow="1" x14ac:dyDescent="0.25"/>
  <cols>
    <col min="1" max="1" width="2.85546875" style="24" customWidth="1"/>
    <col min="2" max="2" width="7.85546875" style="27" customWidth="1"/>
    <col min="3" max="3" width="9" style="27"/>
    <col min="4" max="4" width="23.42578125" style="24" customWidth="1"/>
    <col min="5" max="5" width="9" style="27"/>
    <col min="6" max="10" width="45.42578125" style="24" customWidth="1"/>
    <col min="11" max="11" width="9" style="24"/>
    <col min="12" max="12" width="12.7109375" style="24" customWidth="1"/>
    <col min="13" max="16384" width="9" style="24"/>
  </cols>
  <sheetData>
    <row r="1" spans="2:10" s="10" customFormat="1" x14ac:dyDescent="0.25">
      <c r="B1" s="9"/>
      <c r="C1" s="9"/>
      <c r="E1" s="9"/>
    </row>
    <row r="2" spans="2:10" s="10" customFormat="1" ht="26.25" customHeight="1" x14ac:dyDescent="0.25">
      <c r="B2" s="8" t="s">
        <v>174</v>
      </c>
      <c r="C2" s="9"/>
      <c r="E2" s="9"/>
    </row>
    <row r="3" spans="2:10" s="10" customFormat="1" ht="10.35" customHeight="1" x14ac:dyDescent="0.25">
      <c r="B3" s="8"/>
      <c r="C3" s="9"/>
      <c r="E3" s="9"/>
    </row>
    <row r="4" spans="2:10" s="10" customFormat="1" ht="31.5" customHeight="1" outlineLevel="1" x14ac:dyDescent="0.25">
      <c r="B4" s="8"/>
      <c r="C4" s="9"/>
      <c r="D4" s="11" t="s">
        <v>10</v>
      </c>
      <c r="E4" s="3" t="s">
        <v>11</v>
      </c>
      <c r="F4" s="4">
        <v>1</v>
      </c>
      <c r="G4" s="4">
        <v>2</v>
      </c>
      <c r="H4" s="4">
        <v>3</v>
      </c>
    </row>
    <row r="5" spans="2:10" s="10" customFormat="1" ht="20.100000000000001" customHeight="1" outlineLevel="1" x14ac:dyDescent="0.25">
      <c r="B5" s="8"/>
      <c r="C5" s="9"/>
      <c r="D5" s="3" t="s">
        <v>11</v>
      </c>
      <c r="E5" s="1">
        <f>SUM(E6:E9)</f>
        <v>51</v>
      </c>
      <c r="F5" s="2">
        <f>SUM(F6:F9)</f>
        <v>16</v>
      </c>
      <c r="G5" s="2">
        <f t="shared" ref="G5:H5" si="0">SUM(G6:G9)</f>
        <v>16</v>
      </c>
      <c r="H5" s="2">
        <f t="shared" si="0"/>
        <v>19</v>
      </c>
    </row>
    <row r="6" spans="2:10" s="10" customFormat="1" ht="20.100000000000001" customHeight="1" outlineLevel="1" x14ac:dyDescent="0.25">
      <c r="B6" s="8"/>
      <c r="C6" s="9"/>
      <c r="D6" s="4">
        <v>1</v>
      </c>
      <c r="E6" s="2">
        <f>SUM(F6:H6)</f>
        <v>13</v>
      </c>
      <c r="F6" s="5">
        <f>COUNTIFS($E$13:$E$200,$D6,$C$13:$C$200,F$4)</f>
        <v>4</v>
      </c>
      <c r="G6" s="5">
        <f t="shared" ref="G6:H9" si="1">COUNTIFS($E$13:$E$200,$D6,$C$13:$C$200,G$4)</f>
        <v>4</v>
      </c>
      <c r="H6" s="5">
        <f t="shared" si="1"/>
        <v>5</v>
      </c>
    </row>
    <row r="7" spans="2:10" s="10" customFormat="1" ht="20.100000000000001" customHeight="1" outlineLevel="1" x14ac:dyDescent="0.25">
      <c r="B7" s="8"/>
      <c r="C7" s="9"/>
      <c r="D7" s="4">
        <v>2</v>
      </c>
      <c r="E7" s="2">
        <f t="shared" ref="E7:E9" si="2">SUM(F7:H7)</f>
        <v>14</v>
      </c>
      <c r="F7" s="5">
        <f t="shared" ref="F7:F9" si="3">COUNTIFS($E$13:$E$200,$D7,$C$13:$C$200,F$4)</f>
        <v>4</v>
      </c>
      <c r="G7" s="5">
        <f t="shared" si="1"/>
        <v>4</v>
      </c>
      <c r="H7" s="5">
        <f t="shared" si="1"/>
        <v>6</v>
      </c>
    </row>
    <row r="8" spans="2:10" s="10" customFormat="1" ht="20.100000000000001" customHeight="1" outlineLevel="1" x14ac:dyDescent="0.25">
      <c r="B8" s="8"/>
      <c r="C8" s="9"/>
      <c r="D8" s="4">
        <v>3</v>
      </c>
      <c r="E8" s="2">
        <f t="shared" si="2"/>
        <v>12</v>
      </c>
      <c r="F8" s="5">
        <f t="shared" si="3"/>
        <v>4</v>
      </c>
      <c r="G8" s="5">
        <f t="shared" si="1"/>
        <v>4</v>
      </c>
      <c r="H8" s="5">
        <f t="shared" si="1"/>
        <v>4</v>
      </c>
    </row>
    <row r="9" spans="2:10" s="10" customFormat="1" ht="20.100000000000001" customHeight="1" outlineLevel="1" x14ac:dyDescent="0.25">
      <c r="B9" s="8"/>
      <c r="C9" s="9"/>
      <c r="D9" s="4">
        <v>4</v>
      </c>
      <c r="E9" s="2">
        <f t="shared" si="2"/>
        <v>12</v>
      </c>
      <c r="F9" s="5">
        <f t="shared" si="3"/>
        <v>4</v>
      </c>
      <c r="G9" s="5">
        <f t="shared" si="1"/>
        <v>4</v>
      </c>
      <c r="H9" s="5">
        <f t="shared" si="1"/>
        <v>4</v>
      </c>
    </row>
    <row r="10" spans="2:10" s="10" customFormat="1" ht="6.75" customHeight="1" x14ac:dyDescent="0.25">
      <c r="B10" s="9"/>
      <c r="C10" s="9"/>
      <c r="E10" s="9"/>
    </row>
    <row r="11" spans="2:10" s="10" customFormat="1" ht="19.350000000000001" customHeight="1" x14ac:dyDescent="0.25">
      <c r="B11" s="30" t="s">
        <v>0</v>
      </c>
      <c r="C11" s="30" t="s">
        <v>1</v>
      </c>
      <c r="D11" s="30" t="s">
        <v>2</v>
      </c>
      <c r="E11" s="30" t="s">
        <v>3</v>
      </c>
      <c r="F11" s="28" t="s">
        <v>8</v>
      </c>
      <c r="G11" s="29" t="s">
        <v>9</v>
      </c>
      <c r="H11" s="29"/>
      <c r="I11" s="29"/>
      <c r="J11" s="29"/>
    </row>
    <row r="12" spans="2:10" s="10" customFormat="1" ht="19.350000000000001" customHeight="1" x14ac:dyDescent="0.25">
      <c r="B12" s="30"/>
      <c r="C12" s="30"/>
      <c r="D12" s="30"/>
      <c r="E12" s="30"/>
      <c r="F12" s="28"/>
      <c r="G12" s="12" t="s">
        <v>4</v>
      </c>
      <c r="H12" s="12" t="s">
        <v>5</v>
      </c>
      <c r="I12" s="12" t="s">
        <v>6</v>
      </c>
      <c r="J12" s="12" t="s">
        <v>7</v>
      </c>
    </row>
    <row r="13" spans="2:10" s="14" customFormat="1" ht="12" x14ac:dyDescent="0.25">
      <c r="B13" s="13" t="str">
        <f t="shared" ref="B13:J13" si="4">"("&amp;COLUMN()-COLUMN($A$13)&amp;")"</f>
        <v>(1)</v>
      </c>
      <c r="C13" s="13" t="str">
        <f t="shared" si="4"/>
        <v>(2)</v>
      </c>
      <c r="D13" s="13" t="str">
        <f t="shared" si="4"/>
        <v>(3)</v>
      </c>
      <c r="E13" s="13" t="str">
        <f t="shared" si="4"/>
        <v>(4)</v>
      </c>
      <c r="F13" s="13" t="str">
        <f t="shared" si="4"/>
        <v>(5)</v>
      </c>
      <c r="G13" s="13" t="str">
        <f t="shared" si="4"/>
        <v>(6)</v>
      </c>
      <c r="H13" s="13" t="str">
        <f t="shared" si="4"/>
        <v>(7)</v>
      </c>
      <c r="I13" s="13" t="str">
        <f t="shared" si="4"/>
        <v>(8)</v>
      </c>
      <c r="J13" s="13" t="str">
        <f t="shared" si="4"/>
        <v>(9)</v>
      </c>
    </row>
    <row r="14" spans="2:10" s="10" customFormat="1" ht="51" x14ac:dyDescent="0.25">
      <c r="B14" s="5">
        <f>ROW()-ROW($B$13)</f>
        <v>1</v>
      </c>
      <c r="C14" s="6">
        <v>1</v>
      </c>
      <c r="D14" s="7" t="s">
        <v>12</v>
      </c>
      <c r="E14" s="6">
        <v>1</v>
      </c>
      <c r="F14" s="15" t="s">
        <v>175</v>
      </c>
      <c r="G14" s="16" t="s">
        <v>176</v>
      </c>
      <c r="H14" s="17" t="s">
        <v>177</v>
      </c>
      <c r="I14" s="17" t="s">
        <v>178</v>
      </c>
      <c r="J14" s="17" t="s">
        <v>179</v>
      </c>
    </row>
    <row r="15" spans="2:10" s="10" customFormat="1" ht="51" x14ac:dyDescent="0.25">
      <c r="B15" s="5">
        <f t="shared" ref="B15:B34" si="5">ROW()-ROW($B$13)</f>
        <v>2</v>
      </c>
      <c r="C15" s="6">
        <v>1</v>
      </c>
      <c r="D15" s="7" t="s">
        <v>12</v>
      </c>
      <c r="E15" s="6">
        <v>1</v>
      </c>
      <c r="F15" s="15" t="s">
        <v>15</v>
      </c>
      <c r="G15" s="18" t="s">
        <v>16</v>
      </c>
      <c r="H15" s="7" t="s">
        <v>17</v>
      </c>
      <c r="I15" s="7" t="s">
        <v>18</v>
      </c>
      <c r="J15" s="7" t="s">
        <v>19</v>
      </c>
    </row>
    <row r="16" spans="2:10" s="10" customFormat="1" ht="51" x14ac:dyDescent="0.25">
      <c r="B16" s="5">
        <f t="shared" si="5"/>
        <v>3</v>
      </c>
      <c r="C16" s="6">
        <v>1</v>
      </c>
      <c r="D16" s="7" t="s">
        <v>12</v>
      </c>
      <c r="E16" s="6">
        <v>1</v>
      </c>
      <c r="F16" s="15" t="s">
        <v>180</v>
      </c>
      <c r="G16" s="18" t="s">
        <v>181</v>
      </c>
      <c r="H16" s="7" t="s">
        <v>182</v>
      </c>
      <c r="I16" s="7" t="s">
        <v>183</v>
      </c>
      <c r="J16" s="7" t="s">
        <v>184</v>
      </c>
    </row>
    <row r="17" spans="2:10" s="10" customFormat="1" ht="51" x14ac:dyDescent="0.25">
      <c r="B17" s="5">
        <f t="shared" si="5"/>
        <v>4</v>
      </c>
      <c r="C17" s="6">
        <v>1</v>
      </c>
      <c r="D17" s="7" t="s">
        <v>12</v>
      </c>
      <c r="E17" s="6">
        <v>1</v>
      </c>
      <c r="F17" s="15" t="s">
        <v>20</v>
      </c>
      <c r="G17" s="18" t="s">
        <v>21</v>
      </c>
      <c r="H17" s="7" t="s">
        <v>22</v>
      </c>
      <c r="I17" s="7" t="s">
        <v>23</v>
      </c>
      <c r="J17" s="7" t="s">
        <v>24</v>
      </c>
    </row>
    <row r="18" spans="2:10" s="10" customFormat="1" ht="51" x14ac:dyDescent="0.25">
      <c r="B18" s="5">
        <f t="shared" si="5"/>
        <v>5</v>
      </c>
      <c r="C18" s="6">
        <v>1</v>
      </c>
      <c r="D18" s="7" t="s">
        <v>12</v>
      </c>
      <c r="E18" s="6">
        <v>2</v>
      </c>
      <c r="F18" s="15" t="s">
        <v>185</v>
      </c>
      <c r="G18" s="18" t="s">
        <v>186</v>
      </c>
      <c r="H18" s="7" t="s">
        <v>187</v>
      </c>
      <c r="I18" s="7" t="s">
        <v>188</v>
      </c>
      <c r="J18" s="7" t="s">
        <v>189</v>
      </c>
    </row>
    <row r="19" spans="2:10" s="10" customFormat="1" ht="51" x14ac:dyDescent="0.25">
      <c r="B19" s="5">
        <f t="shared" si="5"/>
        <v>6</v>
      </c>
      <c r="C19" s="6">
        <v>1</v>
      </c>
      <c r="D19" s="7" t="s">
        <v>12</v>
      </c>
      <c r="E19" s="6">
        <v>2</v>
      </c>
      <c r="F19" s="15" t="s">
        <v>25</v>
      </c>
      <c r="G19" s="16" t="s">
        <v>26</v>
      </c>
      <c r="H19" s="17" t="s">
        <v>27</v>
      </c>
      <c r="I19" s="17" t="s">
        <v>28</v>
      </c>
      <c r="J19" s="17" t="s">
        <v>29</v>
      </c>
    </row>
    <row r="20" spans="2:10" s="10" customFormat="1" ht="51" x14ac:dyDescent="0.25">
      <c r="B20" s="5">
        <f t="shared" si="5"/>
        <v>7</v>
      </c>
      <c r="C20" s="6">
        <v>1</v>
      </c>
      <c r="D20" s="7" t="s">
        <v>12</v>
      </c>
      <c r="E20" s="6">
        <v>2</v>
      </c>
      <c r="F20" s="15" t="s">
        <v>30</v>
      </c>
      <c r="G20" s="18" t="s">
        <v>31</v>
      </c>
      <c r="H20" s="7" t="s">
        <v>32</v>
      </c>
      <c r="I20" s="7" t="s">
        <v>33</v>
      </c>
      <c r="J20" s="7" t="s">
        <v>34</v>
      </c>
    </row>
    <row r="21" spans="2:10" s="10" customFormat="1" ht="51" x14ac:dyDescent="0.25">
      <c r="B21" s="5">
        <f t="shared" si="5"/>
        <v>8</v>
      </c>
      <c r="C21" s="6">
        <v>1</v>
      </c>
      <c r="D21" s="7" t="s">
        <v>12</v>
      </c>
      <c r="E21" s="6">
        <v>2</v>
      </c>
      <c r="F21" s="15" t="s">
        <v>190</v>
      </c>
      <c r="G21" s="18" t="s">
        <v>191</v>
      </c>
      <c r="H21" s="7" t="s">
        <v>192</v>
      </c>
      <c r="I21" s="7" t="s">
        <v>193</v>
      </c>
      <c r="J21" s="7" t="s">
        <v>194</v>
      </c>
    </row>
    <row r="22" spans="2:10" s="10" customFormat="1" ht="51" x14ac:dyDescent="0.25">
      <c r="B22" s="5">
        <f t="shared" si="5"/>
        <v>9</v>
      </c>
      <c r="C22" s="6">
        <v>1</v>
      </c>
      <c r="D22" s="7" t="s">
        <v>12</v>
      </c>
      <c r="E22" s="6">
        <v>3</v>
      </c>
      <c r="F22" s="15" t="s">
        <v>148</v>
      </c>
      <c r="G22" s="16" t="s">
        <v>149</v>
      </c>
      <c r="H22" s="17" t="s">
        <v>150</v>
      </c>
      <c r="I22" s="17" t="s">
        <v>151</v>
      </c>
      <c r="J22" s="17" t="s">
        <v>152</v>
      </c>
    </row>
    <row r="23" spans="2:10" s="10" customFormat="1" ht="89.25" x14ac:dyDescent="0.25">
      <c r="B23" s="5">
        <f t="shared" si="5"/>
        <v>10</v>
      </c>
      <c r="C23" s="6">
        <v>1</v>
      </c>
      <c r="D23" s="7" t="s">
        <v>12</v>
      </c>
      <c r="E23" s="6">
        <v>3</v>
      </c>
      <c r="F23" s="15" t="s">
        <v>195</v>
      </c>
      <c r="G23" s="18" t="s">
        <v>196</v>
      </c>
      <c r="H23" s="7" t="s">
        <v>197</v>
      </c>
      <c r="I23" s="7" t="s">
        <v>198</v>
      </c>
      <c r="J23" s="7" t="s">
        <v>199</v>
      </c>
    </row>
    <row r="24" spans="2:10" s="10" customFormat="1" ht="76.5" x14ac:dyDescent="0.25">
      <c r="B24" s="5">
        <f t="shared" si="5"/>
        <v>11</v>
      </c>
      <c r="C24" s="6">
        <v>1</v>
      </c>
      <c r="D24" s="7" t="s">
        <v>12</v>
      </c>
      <c r="E24" s="6">
        <v>3</v>
      </c>
      <c r="F24" s="15" t="s">
        <v>200</v>
      </c>
      <c r="G24" s="18" t="s">
        <v>201</v>
      </c>
      <c r="H24" s="7" t="s">
        <v>202</v>
      </c>
      <c r="I24" s="7" t="s">
        <v>203</v>
      </c>
      <c r="J24" s="7" t="s">
        <v>204</v>
      </c>
    </row>
    <row r="25" spans="2:10" s="10" customFormat="1" ht="51" x14ac:dyDescent="0.25">
      <c r="B25" s="5">
        <f t="shared" si="5"/>
        <v>12</v>
      </c>
      <c r="C25" s="6">
        <v>1</v>
      </c>
      <c r="D25" s="7" t="s">
        <v>12</v>
      </c>
      <c r="E25" s="6">
        <v>3</v>
      </c>
      <c r="F25" s="15" t="s">
        <v>153</v>
      </c>
      <c r="G25" s="18" t="s">
        <v>154</v>
      </c>
      <c r="H25" s="7" t="s">
        <v>155</v>
      </c>
      <c r="I25" s="7" t="s">
        <v>156</v>
      </c>
      <c r="J25" s="7" t="s">
        <v>157</v>
      </c>
    </row>
    <row r="26" spans="2:10" s="10" customFormat="1" ht="102" x14ac:dyDescent="0.25">
      <c r="B26" s="5">
        <f t="shared" si="5"/>
        <v>13</v>
      </c>
      <c r="C26" s="6">
        <v>1</v>
      </c>
      <c r="D26" s="7" t="s">
        <v>12</v>
      </c>
      <c r="E26" s="6">
        <v>4</v>
      </c>
      <c r="F26" s="15" t="s">
        <v>205</v>
      </c>
      <c r="G26" s="18" t="s">
        <v>206</v>
      </c>
      <c r="H26" s="7" t="s">
        <v>207</v>
      </c>
      <c r="I26" s="7" t="s">
        <v>208</v>
      </c>
      <c r="J26" s="7" t="s">
        <v>209</v>
      </c>
    </row>
    <row r="27" spans="2:10" s="10" customFormat="1" ht="63.75" x14ac:dyDescent="0.25">
      <c r="B27" s="5">
        <f t="shared" si="5"/>
        <v>14</v>
      </c>
      <c r="C27" s="6">
        <v>1</v>
      </c>
      <c r="D27" s="7" t="s">
        <v>12</v>
      </c>
      <c r="E27" s="6">
        <v>4</v>
      </c>
      <c r="F27" s="15" t="s">
        <v>35</v>
      </c>
      <c r="G27" s="18" t="s">
        <v>36</v>
      </c>
      <c r="H27" s="7" t="s">
        <v>37</v>
      </c>
      <c r="I27" s="7" t="s">
        <v>38</v>
      </c>
      <c r="J27" s="7" t="s">
        <v>39</v>
      </c>
    </row>
    <row r="28" spans="2:10" s="10" customFormat="1" ht="51" x14ac:dyDescent="0.25">
      <c r="B28" s="5">
        <f t="shared" si="5"/>
        <v>15</v>
      </c>
      <c r="C28" s="6">
        <v>1</v>
      </c>
      <c r="D28" s="7" t="s">
        <v>12</v>
      </c>
      <c r="E28" s="6">
        <v>4</v>
      </c>
      <c r="F28" s="15" t="s">
        <v>40</v>
      </c>
      <c r="G28" s="18" t="s">
        <v>41</v>
      </c>
      <c r="H28" s="7" t="s">
        <v>42</v>
      </c>
      <c r="I28" s="7" t="s">
        <v>43</v>
      </c>
      <c r="J28" s="7" t="s">
        <v>44</v>
      </c>
    </row>
    <row r="29" spans="2:10" s="10" customFormat="1" ht="114.75" x14ac:dyDescent="0.25">
      <c r="B29" s="5">
        <f t="shared" si="5"/>
        <v>16</v>
      </c>
      <c r="C29" s="6">
        <v>1</v>
      </c>
      <c r="D29" s="7" t="s">
        <v>12</v>
      </c>
      <c r="E29" s="6">
        <v>4</v>
      </c>
      <c r="F29" s="15" t="s">
        <v>45</v>
      </c>
      <c r="G29" s="18" t="s">
        <v>46</v>
      </c>
      <c r="H29" s="7" t="s">
        <v>47</v>
      </c>
      <c r="I29" s="7" t="s">
        <v>48</v>
      </c>
      <c r="J29" s="7" t="s">
        <v>49</v>
      </c>
    </row>
    <row r="30" spans="2:10" s="10" customFormat="1" ht="127.5" x14ac:dyDescent="0.25">
      <c r="B30" s="5">
        <f t="shared" si="5"/>
        <v>17</v>
      </c>
      <c r="C30" s="6">
        <v>2</v>
      </c>
      <c r="D30" s="7" t="s">
        <v>13</v>
      </c>
      <c r="E30" s="6">
        <v>1</v>
      </c>
      <c r="F30" s="15" t="s">
        <v>50</v>
      </c>
      <c r="G30" s="19" t="s">
        <v>51</v>
      </c>
      <c r="H30" s="20" t="s">
        <v>52</v>
      </c>
      <c r="I30" s="20" t="s">
        <v>53</v>
      </c>
      <c r="J30" s="20" t="s">
        <v>54</v>
      </c>
    </row>
    <row r="31" spans="2:10" s="10" customFormat="1" ht="127.5" x14ac:dyDescent="0.25">
      <c r="B31" s="5">
        <f t="shared" si="5"/>
        <v>18</v>
      </c>
      <c r="C31" s="6">
        <v>2</v>
      </c>
      <c r="D31" s="7" t="s">
        <v>13</v>
      </c>
      <c r="E31" s="6">
        <v>1</v>
      </c>
      <c r="F31" s="15" t="s">
        <v>55</v>
      </c>
      <c r="G31" s="19" t="s">
        <v>56</v>
      </c>
      <c r="H31" s="20" t="s">
        <v>57</v>
      </c>
      <c r="I31" s="20" t="s">
        <v>58</v>
      </c>
      <c r="J31" s="20" t="s">
        <v>59</v>
      </c>
    </row>
    <row r="32" spans="2:10" s="10" customFormat="1" ht="38.25" x14ac:dyDescent="0.25">
      <c r="B32" s="5">
        <f t="shared" si="5"/>
        <v>19</v>
      </c>
      <c r="C32" s="6">
        <v>2</v>
      </c>
      <c r="D32" s="7" t="s">
        <v>13</v>
      </c>
      <c r="E32" s="6">
        <v>1</v>
      </c>
      <c r="F32" s="15" t="s">
        <v>210</v>
      </c>
      <c r="G32" s="19" t="s">
        <v>211</v>
      </c>
      <c r="H32" s="20" t="s">
        <v>212</v>
      </c>
      <c r="I32" s="20" t="s">
        <v>213</v>
      </c>
      <c r="J32" s="20" t="s">
        <v>214</v>
      </c>
    </row>
    <row r="33" spans="2:10" s="10" customFormat="1" ht="38.25" x14ac:dyDescent="0.25">
      <c r="B33" s="5">
        <f t="shared" si="5"/>
        <v>20</v>
      </c>
      <c r="C33" s="6">
        <v>2</v>
      </c>
      <c r="D33" s="7" t="s">
        <v>13</v>
      </c>
      <c r="E33" s="6">
        <v>1</v>
      </c>
      <c r="F33" s="15" t="s">
        <v>215</v>
      </c>
      <c r="G33" s="19" t="s">
        <v>216</v>
      </c>
      <c r="H33" s="20" t="s">
        <v>217</v>
      </c>
      <c r="I33" s="20" t="s">
        <v>218</v>
      </c>
      <c r="J33" s="20" t="s">
        <v>219</v>
      </c>
    </row>
    <row r="34" spans="2:10" s="10" customFormat="1" ht="38.25" x14ac:dyDescent="0.25">
      <c r="B34" s="5">
        <f t="shared" si="5"/>
        <v>21</v>
      </c>
      <c r="C34" s="6">
        <v>2</v>
      </c>
      <c r="D34" s="7" t="s">
        <v>13</v>
      </c>
      <c r="E34" s="6">
        <v>2</v>
      </c>
      <c r="F34" s="15" t="s">
        <v>60</v>
      </c>
      <c r="G34" s="18" t="s">
        <v>61</v>
      </c>
      <c r="H34" s="7" t="s">
        <v>62</v>
      </c>
      <c r="I34" s="7" t="s">
        <v>63</v>
      </c>
      <c r="J34" s="7" t="s">
        <v>64</v>
      </c>
    </row>
    <row r="35" spans="2:10" s="10" customFormat="1" ht="38.25" x14ac:dyDescent="0.25">
      <c r="B35" s="5">
        <f>ROW()-ROW($B$13)</f>
        <v>22</v>
      </c>
      <c r="C35" s="6">
        <v>2</v>
      </c>
      <c r="D35" s="7" t="s">
        <v>13</v>
      </c>
      <c r="E35" s="6">
        <v>2</v>
      </c>
      <c r="F35" s="15" t="s">
        <v>65</v>
      </c>
      <c r="G35" s="18" t="s">
        <v>66</v>
      </c>
      <c r="H35" s="7" t="s">
        <v>67</v>
      </c>
      <c r="I35" s="7" t="s">
        <v>68</v>
      </c>
      <c r="J35" s="7" t="s">
        <v>69</v>
      </c>
    </row>
    <row r="36" spans="2:10" s="10" customFormat="1" ht="38.25" x14ac:dyDescent="0.25">
      <c r="B36" s="5">
        <f t="shared" ref="B36:B64" si="6">ROW()-ROW($B$13)</f>
        <v>23</v>
      </c>
      <c r="C36" s="6">
        <v>2</v>
      </c>
      <c r="D36" s="7" t="s">
        <v>13</v>
      </c>
      <c r="E36" s="6">
        <v>2</v>
      </c>
      <c r="F36" s="15" t="s">
        <v>220</v>
      </c>
      <c r="G36" s="18" t="s">
        <v>221</v>
      </c>
      <c r="H36" s="7" t="s">
        <v>222</v>
      </c>
      <c r="I36" s="7" t="s">
        <v>223</v>
      </c>
      <c r="J36" s="7" t="s">
        <v>224</v>
      </c>
    </row>
    <row r="37" spans="2:10" s="10" customFormat="1" ht="38.25" x14ac:dyDescent="0.25">
      <c r="B37" s="5">
        <f t="shared" si="6"/>
        <v>24</v>
      </c>
      <c r="C37" s="6">
        <v>2</v>
      </c>
      <c r="D37" s="7" t="s">
        <v>13</v>
      </c>
      <c r="E37" s="6">
        <v>2</v>
      </c>
      <c r="F37" s="15" t="s">
        <v>225</v>
      </c>
      <c r="G37" s="18" t="s">
        <v>226</v>
      </c>
      <c r="H37" s="7" t="s">
        <v>227</v>
      </c>
      <c r="I37" s="7" t="s">
        <v>228</v>
      </c>
      <c r="J37" s="7" t="s">
        <v>229</v>
      </c>
    </row>
    <row r="38" spans="2:10" s="10" customFormat="1" ht="76.5" x14ac:dyDescent="0.25">
      <c r="B38" s="5">
        <f t="shared" si="6"/>
        <v>25</v>
      </c>
      <c r="C38" s="6">
        <v>2</v>
      </c>
      <c r="D38" s="7" t="s">
        <v>13</v>
      </c>
      <c r="E38" s="6">
        <v>3</v>
      </c>
      <c r="F38" s="15" t="s">
        <v>158</v>
      </c>
      <c r="G38" s="18" t="s">
        <v>159</v>
      </c>
      <c r="H38" s="7" t="s">
        <v>160</v>
      </c>
      <c r="I38" s="7" t="s">
        <v>161</v>
      </c>
      <c r="J38" s="7" t="s">
        <v>162</v>
      </c>
    </row>
    <row r="39" spans="2:10" s="10" customFormat="1" ht="153" x14ac:dyDescent="0.25">
      <c r="B39" s="5">
        <f t="shared" si="6"/>
        <v>26</v>
      </c>
      <c r="C39" s="6">
        <v>2</v>
      </c>
      <c r="D39" s="7" t="s">
        <v>13</v>
      </c>
      <c r="E39" s="6">
        <v>3</v>
      </c>
      <c r="F39" s="15" t="s">
        <v>163</v>
      </c>
      <c r="G39" s="18">
        <v>15</v>
      </c>
      <c r="H39" s="7">
        <v>9</v>
      </c>
      <c r="I39" s="7">
        <v>6</v>
      </c>
      <c r="J39" s="7">
        <v>4</v>
      </c>
    </row>
    <row r="40" spans="2:10" s="10" customFormat="1" ht="63.75" x14ac:dyDescent="0.25">
      <c r="B40" s="5">
        <f t="shared" si="6"/>
        <v>27</v>
      </c>
      <c r="C40" s="6">
        <v>2</v>
      </c>
      <c r="D40" s="7" t="s">
        <v>13</v>
      </c>
      <c r="E40" s="6">
        <v>3</v>
      </c>
      <c r="F40" s="15" t="s">
        <v>230</v>
      </c>
      <c r="G40" s="16" t="s">
        <v>231</v>
      </c>
      <c r="H40" s="17" t="s">
        <v>232</v>
      </c>
      <c r="I40" s="17" t="s">
        <v>233</v>
      </c>
      <c r="J40" s="17" t="s">
        <v>234</v>
      </c>
    </row>
    <row r="41" spans="2:10" s="10" customFormat="1" ht="63.75" x14ac:dyDescent="0.25">
      <c r="B41" s="5">
        <f t="shared" si="6"/>
        <v>28</v>
      </c>
      <c r="C41" s="6">
        <v>2</v>
      </c>
      <c r="D41" s="7" t="s">
        <v>13</v>
      </c>
      <c r="E41" s="6">
        <v>3</v>
      </c>
      <c r="F41" s="15" t="s">
        <v>235</v>
      </c>
      <c r="G41" s="18" t="s">
        <v>236</v>
      </c>
      <c r="H41" s="7" t="s">
        <v>237</v>
      </c>
      <c r="I41" s="7" t="s">
        <v>238</v>
      </c>
      <c r="J41" s="7" t="s">
        <v>239</v>
      </c>
    </row>
    <row r="42" spans="2:10" s="10" customFormat="1" ht="63.75" x14ac:dyDescent="0.25">
      <c r="B42" s="5">
        <f t="shared" si="6"/>
        <v>29</v>
      </c>
      <c r="C42" s="6">
        <v>2</v>
      </c>
      <c r="D42" s="7" t="s">
        <v>13</v>
      </c>
      <c r="E42" s="6">
        <v>4</v>
      </c>
      <c r="F42" s="15" t="s">
        <v>70</v>
      </c>
      <c r="G42" s="18" t="s">
        <v>71</v>
      </c>
      <c r="H42" s="7" t="s">
        <v>72</v>
      </c>
      <c r="I42" s="7" t="s">
        <v>73</v>
      </c>
      <c r="J42" s="7" t="s">
        <v>74</v>
      </c>
    </row>
    <row r="43" spans="2:10" s="10" customFormat="1" ht="63.75" x14ac:dyDescent="0.25">
      <c r="B43" s="5">
        <f t="shared" si="6"/>
        <v>30</v>
      </c>
      <c r="C43" s="6">
        <v>2</v>
      </c>
      <c r="D43" s="7" t="s">
        <v>13</v>
      </c>
      <c r="E43" s="6">
        <v>4</v>
      </c>
      <c r="F43" s="15" t="s">
        <v>75</v>
      </c>
      <c r="G43" s="16" t="s">
        <v>76</v>
      </c>
      <c r="H43" s="17" t="s">
        <v>77</v>
      </c>
      <c r="I43" s="17" t="s">
        <v>78</v>
      </c>
      <c r="J43" s="17" t="s">
        <v>79</v>
      </c>
    </row>
    <row r="44" spans="2:10" s="10" customFormat="1" ht="76.5" x14ac:dyDescent="0.25">
      <c r="B44" s="5">
        <f t="shared" si="6"/>
        <v>31</v>
      </c>
      <c r="C44" s="6">
        <v>2</v>
      </c>
      <c r="D44" s="7" t="s">
        <v>13</v>
      </c>
      <c r="E44" s="6">
        <v>4</v>
      </c>
      <c r="F44" s="15" t="s">
        <v>240</v>
      </c>
      <c r="G44" s="18" t="s">
        <v>241</v>
      </c>
      <c r="H44" s="7" t="s">
        <v>242</v>
      </c>
      <c r="I44" s="7" t="s">
        <v>243</v>
      </c>
      <c r="J44" s="7" t="s">
        <v>244</v>
      </c>
    </row>
    <row r="45" spans="2:10" s="10" customFormat="1" ht="102" x14ac:dyDescent="0.25">
      <c r="B45" s="5">
        <f t="shared" si="6"/>
        <v>32</v>
      </c>
      <c r="C45" s="6">
        <v>2</v>
      </c>
      <c r="D45" s="7" t="s">
        <v>13</v>
      </c>
      <c r="E45" s="6">
        <v>4</v>
      </c>
      <c r="F45" s="15" t="s">
        <v>80</v>
      </c>
      <c r="G45" s="18" t="s">
        <v>81</v>
      </c>
      <c r="H45" s="7" t="s">
        <v>82</v>
      </c>
      <c r="I45" s="7" t="s">
        <v>83</v>
      </c>
      <c r="J45" s="7" t="s">
        <v>84</v>
      </c>
    </row>
    <row r="46" spans="2:10" s="10" customFormat="1" ht="51" x14ac:dyDescent="0.25">
      <c r="B46" s="5">
        <f t="shared" si="6"/>
        <v>33</v>
      </c>
      <c r="C46" s="6">
        <v>3</v>
      </c>
      <c r="D46" s="7" t="s">
        <v>14</v>
      </c>
      <c r="E46" s="6">
        <v>1</v>
      </c>
      <c r="F46" s="15" t="s">
        <v>85</v>
      </c>
      <c r="G46" s="18" t="s">
        <v>86</v>
      </c>
      <c r="H46" s="7" t="s">
        <v>87</v>
      </c>
      <c r="I46" s="7" t="s">
        <v>88</v>
      </c>
      <c r="J46" s="7" t="s">
        <v>89</v>
      </c>
    </row>
    <row r="47" spans="2:10" s="10" customFormat="1" ht="51" x14ac:dyDescent="0.25">
      <c r="B47" s="5">
        <f t="shared" si="6"/>
        <v>34</v>
      </c>
      <c r="C47" s="6">
        <v>3</v>
      </c>
      <c r="D47" s="7" t="s">
        <v>14</v>
      </c>
      <c r="E47" s="6">
        <v>1</v>
      </c>
      <c r="F47" s="15" t="s">
        <v>90</v>
      </c>
      <c r="G47" s="18" t="s">
        <v>91</v>
      </c>
      <c r="H47" s="7" t="s">
        <v>92</v>
      </c>
      <c r="I47" s="7" t="s">
        <v>93</v>
      </c>
      <c r="J47" s="7" t="s">
        <v>94</v>
      </c>
    </row>
    <row r="48" spans="2:10" s="10" customFormat="1" ht="51" x14ac:dyDescent="0.25">
      <c r="B48" s="5">
        <f t="shared" si="6"/>
        <v>35</v>
      </c>
      <c r="C48" s="6">
        <v>3</v>
      </c>
      <c r="D48" s="7" t="s">
        <v>14</v>
      </c>
      <c r="E48" s="6">
        <v>1</v>
      </c>
      <c r="F48" s="15" t="s">
        <v>95</v>
      </c>
      <c r="G48" s="18" t="s">
        <v>96</v>
      </c>
      <c r="H48" s="7" t="s">
        <v>97</v>
      </c>
      <c r="I48" s="7" t="s">
        <v>98</v>
      </c>
      <c r="J48" s="7" t="s">
        <v>99</v>
      </c>
    </row>
    <row r="49" spans="2:10" s="10" customFormat="1" ht="51" x14ac:dyDescent="0.25">
      <c r="B49" s="5">
        <f t="shared" si="6"/>
        <v>36</v>
      </c>
      <c r="C49" s="6">
        <v>3</v>
      </c>
      <c r="D49" s="7" t="s">
        <v>14</v>
      </c>
      <c r="E49" s="6">
        <v>1</v>
      </c>
      <c r="F49" s="15" t="s">
        <v>100</v>
      </c>
      <c r="G49" s="18" t="s">
        <v>101</v>
      </c>
      <c r="H49" s="7" t="s">
        <v>102</v>
      </c>
      <c r="I49" s="7" t="s">
        <v>103</v>
      </c>
      <c r="J49" s="7" t="s">
        <v>104</v>
      </c>
    </row>
    <row r="50" spans="2:10" s="10" customFormat="1" ht="51" x14ac:dyDescent="0.25">
      <c r="B50" s="5">
        <f t="shared" si="6"/>
        <v>37</v>
      </c>
      <c r="C50" s="6">
        <v>3</v>
      </c>
      <c r="D50" s="7" t="s">
        <v>14</v>
      </c>
      <c r="E50" s="6">
        <v>1</v>
      </c>
      <c r="F50" s="15" t="s">
        <v>245</v>
      </c>
      <c r="G50" s="18" t="s">
        <v>246</v>
      </c>
      <c r="H50" s="7" t="s">
        <v>247</v>
      </c>
      <c r="I50" s="7" t="s">
        <v>248</v>
      </c>
      <c r="J50" s="7" t="s">
        <v>249</v>
      </c>
    </row>
    <row r="51" spans="2:10" s="10" customFormat="1" ht="51" x14ac:dyDescent="0.25">
      <c r="B51" s="5">
        <f t="shared" si="6"/>
        <v>38</v>
      </c>
      <c r="C51" s="6">
        <v>3</v>
      </c>
      <c r="D51" s="7" t="s">
        <v>14</v>
      </c>
      <c r="E51" s="6">
        <v>2</v>
      </c>
      <c r="F51" s="15" t="s">
        <v>105</v>
      </c>
      <c r="G51" s="18" t="s">
        <v>106</v>
      </c>
      <c r="H51" s="7" t="s">
        <v>107</v>
      </c>
      <c r="I51" s="7" t="s">
        <v>108</v>
      </c>
      <c r="J51" s="7" t="s">
        <v>109</v>
      </c>
    </row>
    <row r="52" spans="2:10" s="10" customFormat="1" ht="51" x14ac:dyDescent="0.25">
      <c r="B52" s="5">
        <f t="shared" si="6"/>
        <v>39</v>
      </c>
      <c r="C52" s="6">
        <v>3</v>
      </c>
      <c r="D52" s="7" t="s">
        <v>14</v>
      </c>
      <c r="E52" s="6">
        <v>2</v>
      </c>
      <c r="F52" s="15" t="s">
        <v>105</v>
      </c>
      <c r="G52" s="18" t="s">
        <v>110</v>
      </c>
      <c r="H52" s="7" t="s">
        <v>111</v>
      </c>
      <c r="I52" s="7" t="s">
        <v>112</v>
      </c>
      <c r="J52" s="7" t="s">
        <v>113</v>
      </c>
    </row>
    <row r="53" spans="2:10" s="10" customFormat="1" ht="51" x14ac:dyDescent="0.25">
      <c r="B53" s="5">
        <f t="shared" si="6"/>
        <v>40</v>
      </c>
      <c r="C53" s="6">
        <v>3</v>
      </c>
      <c r="D53" s="7" t="s">
        <v>14</v>
      </c>
      <c r="E53" s="6">
        <v>2</v>
      </c>
      <c r="F53" s="15" t="s">
        <v>114</v>
      </c>
      <c r="G53" s="18" t="s">
        <v>115</v>
      </c>
      <c r="H53" s="7" t="s">
        <v>116</v>
      </c>
      <c r="I53" s="7" t="s">
        <v>117</v>
      </c>
      <c r="J53" s="7" t="s">
        <v>118</v>
      </c>
    </row>
    <row r="54" spans="2:10" s="10" customFormat="1" ht="51" x14ac:dyDescent="0.25">
      <c r="B54" s="5">
        <f t="shared" si="6"/>
        <v>41</v>
      </c>
      <c r="C54" s="6">
        <v>3</v>
      </c>
      <c r="D54" s="7" t="s">
        <v>14</v>
      </c>
      <c r="E54" s="6">
        <v>2</v>
      </c>
      <c r="F54" s="15" t="s">
        <v>119</v>
      </c>
      <c r="G54" s="18" t="s">
        <v>120</v>
      </c>
      <c r="H54" s="7" t="s">
        <v>121</v>
      </c>
      <c r="I54" s="7" t="s">
        <v>122</v>
      </c>
      <c r="J54" s="7" t="s">
        <v>104</v>
      </c>
    </row>
    <row r="55" spans="2:10" s="10" customFormat="1" ht="51" x14ac:dyDescent="0.25">
      <c r="B55" s="5">
        <f t="shared" si="6"/>
        <v>42</v>
      </c>
      <c r="C55" s="6">
        <v>3</v>
      </c>
      <c r="D55" s="7" t="s">
        <v>14</v>
      </c>
      <c r="E55" s="6">
        <v>2</v>
      </c>
      <c r="F55" s="15" t="s">
        <v>123</v>
      </c>
      <c r="G55" s="18" t="s">
        <v>124</v>
      </c>
      <c r="H55" s="7" t="s">
        <v>125</v>
      </c>
      <c r="I55" s="7" t="s">
        <v>126</v>
      </c>
      <c r="J55" s="7" t="s">
        <v>127</v>
      </c>
    </row>
    <row r="56" spans="2:10" s="10" customFormat="1" ht="102" x14ac:dyDescent="0.25">
      <c r="B56" s="5">
        <f t="shared" si="6"/>
        <v>43</v>
      </c>
      <c r="C56" s="6">
        <v>3</v>
      </c>
      <c r="D56" s="7" t="s">
        <v>14</v>
      </c>
      <c r="E56" s="6">
        <v>2</v>
      </c>
      <c r="F56" s="15" t="s">
        <v>128</v>
      </c>
      <c r="G56" s="18" t="s">
        <v>129</v>
      </c>
      <c r="H56" s="7" t="s">
        <v>130</v>
      </c>
      <c r="I56" s="7" t="s">
        <v>131</v>
      </c>
      <c r="J56" s="7" t="s">
        <v>132</v>
      </c>
    </row>
    <row r="57" spans="2:10" s="10" customFormat="1" ht="63.75" x14ac:dyDescent="0.25">
      <c r="B57" s="5">
        <f t="shared" si="6"/>
        <v>44</v>
      </c>
      <c r="C57" s="6">
        <v>3</v>
      </c>
      <c r="D57" s="7" t="s">
        <v>14</v>
      </c>
      <c r="E57" s="6">
        <v>3</v>
      </c>
      <c r="F57" s="15" t="s">
        <v>164</v>
      </c>
      <c r="G57" s="18" t="s">
        <v>165</v>
      </c>
      <c r="H57" s="7" t="s">
        <v>166</v>
      </c>
      <c r="I57" s="7" t="s">
        <v>167</v>
      </c>
      <c r="J57" s="7" t="s">
        <v>168</v>
      </c>
    </row>
    <row r="58" spans="2:10" s="10" customFormat="1" ht="51" x14ac:dyDescent="0.25">
      <c r="B58" s="5">
        <f t="shared" si="6"/>
        <v>45</v>
      </c>
      <c r="C58" s="6">
        <v>3</v>
      </c>
      <c r="D58" s="7" t="s">
        <v>14</v>
      </c>
      <c r="E58" s="6">
        <v>3</v>
      </c>
      <c r="F58" s="15" t="s">
        <v>169</v>
      </c>
      <c r="G58" s="18" t="s">
        <v>170</v>
      </c>
      <c r="H58" s="7" t="s">
        <v>171</v>
      </c>
      <c r="I58" s="7" t="s">
        <v>172</v>
      </c>
      <c r="J58" s="7" t="s">
        <v>173</v>
      </c>
    </row>
    <row r="59" spans="2:10" s="10" customFormat="1" ht="63.75" x14ac:dyDescent="0.25">
      <c r="B59" s="5">
        <f t="shared" si="6"/>
        <v>46</v>
      </c>
      <c r="C59" s="6">
        <v>3</v>
      </c>
      <c r="D59" s="7" t="s">
        <v>14</v>
      </c>
      <c r="E59" s="6">
        <v>3</v>
      </c>
      <c r="F59" s="15" t="s">
        <v>250</v>
      </c>
      <c r="G59" s="18" t="s">
        <v>251</v>
      </c>
      <c r="H59" s="7" t="s">
        <v>252</v>
      </c>
      <c r="I59" s="7" t="s">
        <v>253</v>
      </c>
      <c r="J59" s="7" t="s">
        <v>254</v>
      </c>
    </row>
    <row r="60" spans="2:10" s="10" customFormat="1" ht="76.5" x14ac:dyDescent="0.25">
      <c r="B60" s="5">
        <f t="shared" si="6"/>
        <v>47</v>
      </c>
      <c r="C60" s="6">
        <v>3</v>
      </c>
      <c r="D60" s="7" t="s">
        <v>14</v>
      </c>
      <c r="E60" s="6">
        <v>3</v>
      </c>
      <c r="F60" s="15" t="s">
        <v>255</v>
      </c>
      <c r="G60" s="18" t="s">
        <v>256</v>
      </c>
      <c r="H60" s="7" t="s">
        <v>257</v>
      </c>
      <c r="I60" s="7" t="s">
        <v>258</v>
      </c>
      <c r="J60" s="7" t="s">
        <v>259</v>
      </c>
    </row>
    <row r="61" spans="2:10" s="10" customFormat="1" ht="63.75" x14ac:dyDescent="0.25">
      <c r="B61" s="5">
        <f t="shared" si="6"/>
        <v>48</v>
      </c>
      <c r="C61" s="6">
        <v>3</v>
      </c>
      <c r="D61" s="7" t="s">
        <v>14</v>
      </c>
      <c r="E61" s="6">
        <v>4</v>
      </c>
      <c r="F61" s="15" t="s">
        <v>133</v>
      </c>
      <c r="G61" s="18" t="s">
        <v>134</v>
      </c>
      <c r="H61" s="7" t="s">
        <v>135</v>
      </c>
      <c r="I61" s="7" t="s">
        <v>136</v>
      </c>
      <c r="J61" s="7" t="s">
        <v>137</v>
      </c>
    </row>
    <row r="62" spans="2:10" s="10" customFormat="1" ht="51" x14ac:dyDescent="0.25">
      <c r="B62" s="5">
        <f t="shared" si="6"/>
        <v>49</v>
      </c>
      <c r="C62" s="6">
        <v>3</v>
      </c>
      <c r="D62" s="7" t="s">
        <v>14</v>
      </c>
      <c r="E62" s="6">
        <v>4</v>
      </c>
      <c r="F62" s="15" t="s">
        <v>138</v>
      </c>
      <c r="G62" s="18" t="s">
        <v>139</v>
      </c>
      <c r="H62" s="7" t="s">
        <v>140</v>
      </c>
      <c r="I62" s="7" t="s">
        <v>141</v>
      </c>
      <c r="J62" s="7" t="s">
        <v>142</v>
      </c>
    </row>
    <row r="63" spans="2:10" s="10" customFormat="1" ht="89.25" x14ac:dyDescent="0.25">
      <c r="B63" s="5">
        <f t="shared" si="6"/>
        <v>50</v>
      </c>
      <c r="C63" s="6">
        <v>3</v>
      </c>
      <c r="D63" s="7" t="s">
        <v>14</v>
      </c>
      <c r="E63" s="6">
        <v>4</v>
      </c>
      <c r="F63" s="15" t="s">
        <v>260</v>
      </c>
      <c r="G63" s="18" t="s">
        <v>261</v>
      </c>
      <c r="H63" s="7" t="s">
        <v>262</v>
      </c>
      <c r="I63" s="7" t="s">
        <v>263</v>
      </c>
      <c r="J63" s="7" t="s">
        <v>264</v>
      </c>
    </row>
    <row r="64" spans="2:10" s="10" customFormat="1" ht="89.25" x14ac:dyDescent="0.25">
      <c r="B64" s="5">
        <f t="shared" si="6"/>
        <v>51</v>
      </c>
      <c r="C64" s="6">
        <v>3</v>
      </c>
      <c r="D64" s="7" t="s">
        <v>14</v>
      </c>
      <c r="E64" s="6">
        <v>4</v>
      </c>
      <c r="F64" s="15" t="s">
        <v>143</v>
      </c>
      <c r="G64" s="18" t="s">
        <v>144</v>
      </c>
      <c r="H64" s="7" t="s">
        <v>145</v>
      </c>
      <c r="I64" s="7" t="s">
        <v>146</v>
      </c>
      <c r="J64" s="7" t="s">
        <v>147</v>
      </c>
    </row>
    <row r="65" spans="2:10" x14ac:dyDescent="0.25">
      <c r="B65" s="21"/>
      <c r="C65" s="22"/>
      <c r="D65" s="23"/>
      <c r="E65" s="22"/>
      <c r="F65" s="23"/>
      <c r="G65" s="25"/>
      <c r="H65" s="25"/>
      <c r="I65" s="25"/>
      <c r="J65" s="25"/>
    </row>
    <row r="66" spans="2:10" x14ac:dyDescent="0.25">
      <c r="B66" s="21"/>
      <c r="C66" s="22"/>
      <c r="D66" s="23"/>
      <c r="E66" s="22"/>
      <c r="F66" s="23"/>
      <c r="G66" s="25"/>
      <c r="H66" s="25"/>
      <c r="I66" s="25"/>
      <c r="J66" s="25"/>
    </row>
    <row r="67" spans="2:10" x14ac:dyDescent="0.25">
      <c r="B67" s="21"/>
      <c r="C67" s="22"/>
      <c r="D67" s="23"/>
      <c r="E67" s="22"/>
      <c r="F67" s="23"/>
      <c r="G67" s="25"/>
      <c r="H67" s="25"/>
      <c r="I67" s="25"/>
      <c r="J67" s="25"/>
    </row>
    <row r="68" spans="2:10" x14ac:dyDescent="0.25">
      <c r="B68" s="21"/>
      <c r="C68" s="22"/>
      <c r="D68" s="23"/>
      <c r="E68" s="22"/>
      <c r="F68" s="23"/>
      <c r="G68" s="23"/>
      <c r="H68" s="23"/>
      <c r="I68" s="23"/>
      <c r="J68" s="23"/>
    </row>
    <row r="69" spans="2:10" x14ac:dyDescent="0.25">
      <c r="B69" s="21"/>
      <c r="C69" s="22"/>
      <c r="D69" s="23"/>
      <c r="E69" s="22"/>
      <c r="F69" s="23"/>
      <c r="G69" s="23"/>
      <c r="H69" s="23"/>
      <c r="I69" s="23"/>
      <c r="J69" s="23"/>
    </row>
    <row r="70" spans="2:10" x14ac:dyDescent="0.25">
      <c r="B70" s="21"/>
      <c r="C70" s="22"/>
      <c r="D70" s="23"/>
      <c r="E70" s="22"/>
      <c r="F70" s="23"/>
      <c r="G70" s="23"/>
      <c r="H70" s="23"/>
      <c r="I70" s="23"/>
      <c r="J70" s="23"/>
    </row>
    <row r="71" spans="2:10" x14ac:dyDescent="0.25">
      <c r="B71" s="21"/>
      <c r="C71" s="22"/>
      <c r="D71" s="23"/>
      <c r="E71" s="22"/>
      <c r="F71" s="23"/>
      <c r="G71" s="23"/>
      <c r="H71" s="23"/>
      <c r="I71" s="23"/>
      <c r="J71" s="23"/>
    </row>
    <row r="72" spans="2:10" x14ac:dyDescent="0.25">
      <c r="B72" s="21"/>
      <c r="C72" s="22"/>
      <c r="D72" s="23"/>
      <c r="E72" s="22"/>
      <c r="F72" s="23"/>
      <c r="G72" s="23"/>
      <c r="H72" s="23"/>
      <c r="I72" s="23"/>
      <c r="J72" s="23"/>
    </row>
    <row r="73" spans="2:10" x14ac:dyDescent="0.25">
      <c r="B73" s="21"/>
      <c r="C73" s="22"/>
      <c r="D73" s="23"/>
      <c r="E73" s="22"/>
      <c r="F73" s="23"/>
      <c r="G73" s="23"/>
      <c r="H73" s="23"/>
      <c r="I73" s="23"/>
      <c r="J73" s="23"/>
    </row>
    <row r="74" spans="2:10" x14ac:dyDescent="0.25">
      <c r="B74" s="21"/>
      <c r="C74" s="22"/>
      <c r="D74" s="23"/>
      <c r="E74" s="22"/>
      <c r="F74" s="23"/>
      <c r="G74" s="26"/>
      <c r="H74" s="26"/>
      <c r="I74" s="26"/>
      <c r="J74" s="26"/>
    </row>
    <row r="75" spans="2:10" x14ac:dyDescent="0.25">
      <c r="B75" s="21"/>
      <c r="C75" s="22"/>
      <c r="D75" s="23"/>
      <c r="E75" s="22"/>
      <c r="F75" s="23"/>
      <c r="G75" s="23"/>
      <c r="H75" s="23"/>
      <c r="I75" s="23"/>
      <c r="J75" s="23"/>
    </row>
    <row r="76" spans="2:10" x14ac:dyDescent="0.25">
      <c r="B76" s="21"/>
      <c r="C76" s="22"/>
      <c r="D76" s="23"/>
      <c r="E76" s="22"/>
      <c r="F76" s="23"/>
      <c r="G76" s="23"/>
      <c r="H76" s="23"/>
      <c r="I76" s="23"/>
      <c r="J76" s="23"/>
    </row>
    <row r="77" spans="2:10" x14ac:dyDescent="0.25">
      <c r="B77" s="21"/>
      <c r="C77" s="22"/>
      <c r="D77" s="23"/>
      <c r="E77" s="22"/>
      <c r="F77" s="23"/>
      <c r="G77" s="26"/>
      <c r="H77" s="26"/>
      <c r="I77" s="26"/>
      <c r="J77" s="26"/>
    </row>
    <row r="78" spans="2:10" x14ac:dyDescent="0.25">
      <c r="B78" s="21"/>
      <c r="C78" s="22"/>
      <c r="D78" s="23"/>
      <c r="E78" s="22"/>
      <c r="F78" s="23"/>
      <c r="G78" s="23"/>
      <c r="H78" s="23"/>
      <c r="I78" s="23"/>
      <c r="J78" s="23"/>
    </row>
    <row r="79" spans="2:10" x14ac:dyDescent="0.25">
      <c r="B79" s="21"/>
      <c r="C79" s="22"/>
      <c r="D79" s="23"/>
      <c r="E79" s="22"/>
      <c r="F79" s="23"/>
      <c r="G79" s="23"/>
      <c r="H79" s="23"/>
      <c r="I79" s="23"/>
      <c r="J79" s="23"/>
    </row>
    <row r="80" spans="2:10" x14ac:dyDescent="0.25">
      <c r="B80" s="21"/>
      <c r="C80" s="22"/>
      <c r="D80" s="23"/>
      <c r="E80" s="22"/>
      <c r="F80" s="23"/>
      <c r="G80" s="23"/>
      <c r="H80" s="23"/>
      <c r="I80" s="23"/>
      <c r="J80" s="23"/>
    </row>
    <row r="81" spans="2:10" x14ac:dyDescent="0.25">
      <c r="B81" s="21"/>
      <c r="C81" s="22"/>
      <c r="D81" s="23"/>
      <c r="E81" s="22"/>
      <c r="F81" s="23"/>
      <c r="G81" s="23"/>
      <c r="H81" s="23"/>
      <c r="I81" s="23"/>
      <c r="J81" s="23"/>
    </row>
    <row r="82" spans="2:10" x14ac:dyDescent="0.25">
      <c r="B82" s="21"/>
      <c r="C82" s="22"/>
      <c r="D82" s="23"/>
      <c r="E82" s="22"/>
      <c r="F82" s="23"/>
      <c r="G82" s="23"/>
      <c r="H82" s="23"/>
      <c r="I82" s="23"/>
      <c r="J82" s="23"/>
    </row>
    <row r="83" spans="2:10" x14ac:dyDescent="0.25">
      <c r="B83" s="21"/>
      <c r="C83" s="22"/>
      <c r="D83" s="23"/>
      <c r="E83" s="22"/>
      <c r="F83" s="23"/>
      <c r="G83" s="23"/>
      <c r="H83" s="23"/>
      <c r="I83" s="23"/>
      <c r="J83" s="23"/>
    </row>
    <row r="84" spans="2:10" x14ac:dyDescent="0.25">
      <c r="B84" s="21"/>
      <c r="C84" s="22"/>
      <c r="D84" s="23"/>
      <c r="E84" s="22"/>
      <c r="F84" s="23"/>
      <c r="G84" s="23"/>
      <c r="H84" s="23"/>
      <c r="I84" s="23"/>
      <c r="J84" s="23"/>
    </row>
    <row r="85" spans="2:10" x14ac:dyDescent="0.25">
      <c r="B85" s="21"/>
      <c r="C85" s="22"/>
      <c r="D85" s="23"/>
      <c r="E85" s="22"/>
      <c r="F85" s="23"/>
      <c r="G85" s="25"/>
      <c r="H85" s="25"/>
      <c r="I85" s="25"/>
      <c r="J85" s="25"/>
    </row>
    <row r="86" spans="2:10" x14ac:dyDescent="0.25">
      <c r="B86" s="21"/>
      <c r="C86" s="22"/>
      <c r="D86" s="23"/>
      <c r="E86" s="22"/>
      <c r="F86" s="23"/>
      <c r="G86" s="25"/>
      <c r="H86" s="25"/>
      <c r="I86" s="25"/>
      <c r="J86" s="25"/>
    </row>
    <row r="87" spans="2:10" x14ac:dyDescent="0.25">
      <c r="B87" s="21"/>
      <c r="C87" s="22"/>
      <c r="D87" s="23"/>
      <c r="E87" s="22"/>
      <c r="F87" s="23"/>
      <c r="G87" s="25"/>
      <c r="H87" s="25"/>
      <c r="I87" s="25"/>
      <c r="J87" s="25"/>
    </row>
    <row r="88" spans="2:10" x14ac:dyDescent="0.25">
      <c r="B88" s="21"/>
      <c r="C88" s="22"/>
      <c r="D88" s="23"/>
      <c r="E88" s="22"/>
      <c r="F88" s="23"/>
      <c r="G88" s="25"/>
      <c r="H88" s="25"/>
      <c r="I88" s="25"/>
      <c r="J88" s="25"/>
    </row>
    <row r="89" spans="2:10" x14ac:dyDescent="0.25">
      <c r="B89" s="21"/>
      <c r="C89" s="22"/>
      <c r="D89" s="23"/>
      <c r="E89" s="22"/>
      <c r="F89" s="23"/>
      <c r="G89" s="23"/>
      <c r="H89" s="23"/>
      <c r="I89" s="23"/>
      <c r="J89" s="23"/>
    </row>
    <row r="90" spans="2:10" x14ac:dyDescent="0.25">
      <c r="B90" s="21"/>
      <c r="C90" s="22"/>
      <c r="D90" s="23"/>
      <c r="E90" s="22"/>
      <c r="F90" s="23"/>
      <c r="G90" s="23"/>
      <c r="H90" s="23"/>
      <c r="I90" s="23"/>
      <c r="J90" s="23"/>
    </row>
    <row r="91" spans="2:10" x14ac:dyDescent="0.25">
      <c r="B91" s="21"/>
      <c r="C91" s="22"/>
      <c r="D91" s="23"/>
      <c r="E91" s="22"/>
      <c r="F91" s="23"/>
      <c r="G91" s="23"/>
      <c r="H91" s="23"/>
      <c r="I91" s="23"/>
      <c r="J91" s="23"/>
    </row>
    <row r="92" spans="2:10" x14ac:dyDescent="0.25">
      <c r="B92" s="21"/>
      <c r="C92" s="22"/>
      <c r="D92" s="23"/>
      <c r="E92" s="22"/>
      <c r="F92" s="23"/>
      <c r="G92" s="23"/>
      <c r="H92" s="23"/>
      <c r="I92" s="23"/>
      <c r="J92" s="23"/>
    </row>
    <row r="93" spans="2:10" x14ac:dyDescent="0.25">
      <c r="B93" s="21"/>
      <c r="C93" s="22"/>
      <c r="D93" s="23"/>
      <c r="E93" s="22"/>
      <c r="F93" s="23"/>
      <c r="G93" s="23"/>
      <c r="H93" s="23"/>
      <c r="I93" s="23"/>
      <c r="J93" s="23"/>
    </row>
    <row r="94" spans="2:10" x14ac:dyDescent="0.25">
      <c r="B94" s="21"/>
      <c r="C94" s="22"/>
      <c r="D94" s="23"/>
      <c r="E94" s="22"/>
      <c r="F94" s="23"/>
      <c r="G94" s="23"/>
      <c r="H94" s="23"/>
      <c r="I94" s="23"/>
      <c r="J94" s="23"/>
    </row>
    <row r="95" spans="2:10" x14ac:dyDescent="0.25">
      <c r="B95" s="21"/>
      <c r="C95" s="22"/>
      <c r="D95" s="23"/>
      <c r="E95" s="22"/>
      <c r="F95" s="23"/>
      <c r="G95" s="26"/>
      <c r="H95" s="26"/>
      <c r="I95" s="26"/>
      <c r="J95" s="26"/>
    </row>
    <row r="96" spans="2:10" x14ac:dyDescent="0.25">
      <c r="B96" s="21"/>
      <c r="C96" s="22"/>
      <c r="D96" s="23"/>
      <c r="E96" s="22"/>
      <c r="F96" s="23"/>
      <c r="G96" s="23"/>
      <c r="H96" s="23"/>
      <c r="I96" s="23"/>
      <c r="J96" s="23"/>
    </row>
    <row r="97" spans="2:10" x14ac:dyDescent="0.25">
      <c r="B97" s="21"/>
      <c r="C97" s="22"/>
      <c r="D97" s="23"/>
      <c r="E97" s="22"/>
      <c r="F97" s="23"/>
      <c r="G97" s="23"/>
      <c r="H97" s="23"/>
      <c r="I97" s="23"/>
      <c r="J97" s="23"/>
    </row>
    <row r="98" spans="2:10" x14ac:dyDescent="0.25">
      <c r="B98" s="21"/>
      <c r="C98" s="22"/>
      <c r="D98" s="23"/>
      <c r="E98" s="22"/>
      <c r="F98" s="23"/>
      <c r="G98" s="25"/>
      <c r="H98" s="25"/>
      <c r="I98" s="25"/>
      <c r="J98" s="25"/>
    </row>
    <row r="99" spans="2:10" x14ac:dyDescent="0.25">
      <c r="B99" s="21"/>
      <c r="C99" s="22"/>
      <c r="D99" s="23"/>
      <c r="E99" s="22"/>
      <c r="F99" s="23"/>
      <c r="G99" s="25"/>
      <c r="H99" s="25"/>
      <c r="I99" s="25"/>
      <c r="J99" s="25"/>
    </row>
    <row r="100" spans="2:10" x14ac:dyDescent="0.25">
      <c r="B100" s="21"/>
      <c r="C100" s="22"/>
      <c r="D100" s="23"/>
      <c r="E100" s="22"/>
      <c r="F100" s="23"/>
      <c r="G100" s="25"/>
      <c r="H100" s="25"/>
      <c r="I100" s="25"/>
      <c r="J100" s="25"/>
    </row>
    <row r="101" spans="2:10" x14ac:dyDescent="0.25">
      <c r="B101" s="21"/>
      <c r="C101" s="22"/>
      <c r="D101" s="23"/>
      <c r="E101" s="22"/>
      <c r="F101" s="23"/>
      <c r="G101" s="23"/>
      <c r="H101" s="23"/>
      <c r="I101" s="23"/>
      <c r="J101" s="23"/>
    </row>
    <row r="102" spans="2:10" x14ac:dyDescent="0.25">
      <c r="B102" s="21"/>
      <c r="C102" s="22"/>
      <c r="D102" s="23"/>
      <c r="E102" s="22"/>
      <c r="F102" s="23"/>
      <c r="G102" s="23"/>
      <c r="H102" s="23"/>
      <c r="I102" s="23"/>
      <c r="J102" s="23"/>
    </row>
    <row r="103" spans="2:10" x14ac:dyDescent="0.25">
      <c r="B103" s="21"/>
      <c r="C103" s="22"/>
      <c r="D103" s="23"/>
      <c r="E103" s="22"/>
      <c r="F103" s="23"/>
      <c r="G103" s="23"/>
      <c r="H103" s="23"/>
      <c r="I103" s="23"/>
      <c r="J103" s="23"/>
    </row>
    <row r="104" spans="2:10" x14ac:dyDescent="0.25">
      <c r="B104" s="21"/>
      <c r="C104" s="22"/>
      <c r="D104" s="23"/>
      <c r="E104" s="22"/>
      <c r="F104" s="23"/>
      <c r="G104" s="23"/>
      <c r="H104" s="23"/>
      <c r="I104" s="23"/>
      <c r="J104" s="23"/>
    </row>
    <row r="105" spans="2:10" x14ac:dyDescent="0.25">
      <c r="B105" s="21"/>
      <c r="C105" s="22"/>
      <c r="D105" s="23"/>
      <c r="E105" s="22"/>
      <c r="F105" s="23"/>
      <c r="G105" s="23"/>
      <c r="H105" s="23"/>
      <c r="I105" s="23"/>
      <c r="J105" s="23"/>
    </row>
    <row r="106" spans="2:10" x14ac:dyDescent="0.25">
      <c r="B106" s="21"/>
      <c r="C106" s="22"/>
      <c r="D106" s="23"/>
      <c r="E106" s="22"/>
      <c r="F106" s="23"/>
      <c r="G106" s="23"/>
      <c r="H106" s="23"/>
      <c r="I106" s="23"/>
      <c r="J106" s="23"/>
    </row>
    <row r="107" spans="2:10" x14ac:dyDescent="0.25">
      <c r="B107" s="21"/>
      <c r="C107" s="22"/>
      <c r="D107" s="23"/>
      <c r="E107" s="22"/>
      <c r="F107" s="23"/>
      <c r="G107" s="26"/>
      <c r="H107" s="26"/>
      <c r="I107" s="26"/>
      <c r="J107" s="26"/>
    </row>
    <row r="108" spans="2:10" x14ac:dyDescent="0.25">
      <c r="B108" s="21"/>
      <c r="C108" s="22"/>
      <c r="D108" s="23"/>
      <c r="E108" s="22"/>
      <c r="F108" s="23"/>
      <c r="G108" s="23"/>
      <c r="H108" s="23"/>
      <c r="I108" s="23"/>
      <c r="J108" s="23"/>
    </row>
    <row r="109" spans="2:10" x14ac:dyDescent="0.25">
      <c r="B109" s="21"/>
      <c r="C109" s="22"/>
      <c r="D109" s="23"/>
      <c r="E109" s="22"/>
      <c r="F109" s="23"/>
      <c r="G109" s="23"/>
      <c r="H109" s="23"/>
      <c r="I109" s="23"/>
      <c r="J109" s="23"/>
    </row>
    <row r="110" spans="2:10" x14ac:dyDescent="0.25">
      <c r="B110" s="21"/>
      <c r="C110" s="22"/>
      <c r="D110" s="23"/>
      <c r="E110" s="22"/>
      <c r="F110" s="23"/>
      <c r="G110" s="23"/>
      <c r="H110" s="23"/>
      <c r="I110" s="23"/>
      <c r="J110" s="23"/>
    </row>
    <row r="111" spans="2:10" x14ac:dyDescent="0.25">
      <c r="B111" s="21"/>
      <c r="C111" s="22"/>
      <c r="D111" s="23"/>
      <c r="E111" s="22"/>
      <c r="F111" s="23"/>
      <c r="G111" s="26"/>
      <c r="H111" s="26"/>
      <c r="I111" s="26"/>
      <c r="J111" s="26"/>
    </row>
    <row r="112" spans="2:10" x14ac:dyDescent="0.25">
      <c r="B112" s="21"/>
      <c r="C112" s="22"/>
      <c r="D112" s="23"/>
      <c r="E112" s="22"/>
      <c r="F112" s="23"/>
      <c r="G112" s="23"/>
      <c r="H112" s="23"/>
      <c r="I112" s="23"/>
      <c r="J112" s="23"/>
    </row>
    <row r="113" spans="2:10" x14ac:dyDescent="0.25">
      <c r="B113" s="21"/>
      <c r="C113" s="22"/>
      <c r="D113" s="23"/>
      <c r="E113" s="22"/>
      <c r="F113" s="23"/>
      <c r="G113" s="23"/>
      <c r="H113" s="23"/>
      <c r="I113" s="23"/>
      <c r="J113" s="23"/>
    </row>
  </sheetData>
  <autoFilter ref="B13:M137" xr:uid="{B005C0B0-9D89-4729-AC6E-7F1010ED0730}"/>
  <sortState xmlns:xlrd2="http://schemas.microsoft.com/office/spreadsheetml/2017/richdata2" ref="C14:J46">
    <sortCondition ref="C14:C46"/>
    <sortCondition ref="E14:E46"/>
    <sortCondition ref="F14:F46"/>
  </sortState>
  <mergeCells count="6">
    <mergeCell ref="F11:F12"/>
    <mergeCell ref="G11:J11"/>
    <mergeCell ref="B11:B12"/>
    <mergeCell ref="C11:C12"/>
    <mergeCell ref="D11:D12"/>
    <mergeCell ref="E11:E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docMetadata/LabelInfo.xml><?xml version="1.0" encoding="utf-8"?>
<clbl:labelList xmlns:clbl="http://schemas.microsoft.com/office/2020/mipLabelMetadata">
  <clbl:label id="{732535c9-f902-4625-a19b-ab6863a159e8}" enabled="1" method="Privileged" siteId="{8bc01b57-838e-4194-982d-4c58278d0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P11</vt:lpstr>
      <vt:lpstr>'P11'!Print_Area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Nong Thi Huong</dc:creator>
  <cp:lastModifiedBy>Luan, Nguyen Thanh Luan</cp:lastModifiedBy>
  <cp:lastPrinted>2025-07-01T12:17:07Z</cp:lastPrinted>
  <dcterms:created xsi:type="dcterms:W3CDTF">2025-07-01T11:38:19Z</dcterms:created>
  <dcterms:modified xsi:type="dcterms:W3CDTF">2026-10-02T02:29:27Z</dcterms:modified>
</cp:coreProperties>
</file>